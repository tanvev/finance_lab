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Offer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,##0"/>
    <numFmt numFmtId="165" formatCode="₹#,##,##0.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color rgb="004E5D6C"/>
      <sz val="10"/>
    </font>
    <font>
      <b val="1"/>
      <color rgb="001D3557"/>
      <sz val="11"/>
    </font>
    <font>
      <b val="1"/>
      <color rgb="001D3557"/>
      <sz val="12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A9D6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2" fillId="0" borderId="1" applyProtection="1" pivotButton="0" quotePrefix="0" xfId="0">
      <protection locked="0" hidden="0"/>
    </xf>
    <xf numFmtId="2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165" fontId="2" fillId="0" borderId="1" pivotButton="0" quotePrefix="0" xfId="0"/>
    <xf numFmtId="2" fontId="2" fillId="0" borderId="1" pivotButton="0" quotePrefix="0" xfId="0"/>
    <xf numFmtId="0" fontId="4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 Comparison - Job Offers</t>
        </is>
      </c>
    </row>
    <row r="3">
      <c r="A3" s="2" t="inlineStr">
        <is>
          <t>Compare up to 3 job offers with realistic in-hand estimation (including PF logic).</t>
        </is>
      </c>
    </row>
    <row r="5">
      <c r="A5" s="3" t="inlineStr">
        <is>
          <t>Offer</t>
        </is>
      </c>
      <c r="B5" s="3" t="inlineStr">
        <is>
          <t>City</t>
        </is>
      </c>
      <c r="C5" s="3" t="inlineStr">
        <is>
          <t>Company Type</t>
        </is>
      </c>
      <c r="D5" s="3" t="inlineStr">
        <is>
          <t>CTC (₹ LPA)</t>
        </is>
      </c>
      <c r="E5" s="3" t="inlineStr">
        <is>
          <t>Fixed %</t>
        </is>
      </c>
      <c r="F5" s="3" t="inlineStr">
        <is>
          <t>Variable %</t>
        </is>
      </c>
      <c r="G5" s="3" t="inlineStr">
        <is>
          <t>Joining Bonus (₹)</t>
        </is>
      </c>
      <c r="H5" s="3" t="inlineStr">
        <is>
          <t>Bonus Clawback (Months)</t>
        </is>
      </c>
      <c r="I5" s="3" t="inlineStr">
        <is>
          <t>PF Policy</t>
        </is>
      </c>
      <c r="J5" s="3" t="inlineStr">
        <is>
          <t>Est. In-Hand / Month (₹)</t>
        </is>
      </c>
      <c r="K5" s="3" t="inlineStr">
        <is>
          <t>Stability (1–5)</t>
        </is>
      </c>
      <c r="L5" s="3" t="inlineStr">
        <is>
          <t>Growth (1–5)</t>
        </is>
      </c>
      <c r="M5" s="3" t="inlineStr">
        <is>
          <t>Work-Life (1–5)</t>
        </is>
      </c>
      <c r="N5" s="3" t="inlineStr">
        <is>
          <t>Weight-Stab</t>
        </is>
      </c>
      <c r="O5" s="3" t="inlineStr">
        <is>
          <t>Weight-Growth</t>
        </is>
      </c>
      <c r="P5" s="3" t="inlineStr">
        <is>
          <t>Weight-WLB</t>
        </is>
      </c>
      <c r="Q5" s="3" t="inlineStr">
        <is>
          <t>Total Score</t>
        </is>
      </c>
    </row>
    <row r="6">
      <c r="A6" s="4" t="inlineStr">
        <is>
          <t>Offer A</t>
        </is>
      </c>
      <c r="B6" s="4" t="n"/>
      <c r="C6" s="4" t="n"/>
      <c r="D6" s="5" t="n"/>
      <c r="E6" s="4" t="n"/>
      <c r="F6" s="4" t="n"/>
      <c r="G6" s="6" t="n"/>
      <c r="H6" s="4" t="n"/>
      <c r="I6" s="4" t="n"/>
      <c r="J6" s="7">
        <f>(((D6*100000*E6/100)+(D6*100000*F6/100))/12 + G6/12)-(IF(I6="None",0,IF(I6="Full",(D6*100000*E6/100)/12*0.40*0.12,MIN(15000,(D6*100000*E6/100)/12*0.40)*0.12)))</f>
        <v/>
      </c>
      <c r="K6" s="5" t="n"/>
      <c r="L6" s="5" t="n"/>
      <c r="M6" s="5" t="n"/>
      <c r="N6" s="5" t="n">
        <v>1</v>
      </c>
      <c r="O6" s="5" t="n">
        <v>1</v>
      </c>
      <c r="P6" s="5" t="n">
        <v>1</v>
      </c>
      <c r="Q6" s="8">
        <f>K6*N6 + L6*O6 + M6*P6</f>
        <v/>
      </c>
    </row>
    <row r="7">
      <c r="A7" s="4" t="inlineStr">
        <is>
          <t>Offer B</t>
        </is>
      </c>
      <c r="B7" s="4" t="n"/>
      <c r="C7" s="4" t="n"/>
      <c r="D7" s="5" t="n"/>
      <c r="E7" s="4" t="n"/>
      <c r="F7" s="4" t="n"/>
      <c r="G7" s="6" t="n"/>
      <c r="H7" s="4" t="n"/>
      <c r="I7" s="4" t="n"/>
      <c r="J7" s="7">
        <f>(((D7*100000*E7/100)+(D7*100000*F7/100))/12 + G7/12)-(IF(I7="None",0,IF(I7="Full",(D7*100000*E7/100)/12*0.40*0.12,MIN(15000,(D7*100000*E7/100)/12*0.40)*0.12)))</f>
        <v/>
      </c>
      <c r="K7" s="5" t="n"/>
      <c r="L7" s="5" t="n"/>
      <c r="M7" s="5" t="n"/>
      <c r="N7" s="8">
        <f>N6</f>
        <v/>
      </c>
      <c r="O7" s="8">
        <f>O6</f>
        <v/>
      </c>
      <c r="P7" s="8">
        <f>P6</f>
        <v/>
      </c>
      <c r="Q7" s="8">
        <f>K7*N7 + L7*O7 + M7*P7</f>
        <v/>
      </c>
    </row>
    <row r="8">
      <c r="A8" s="4" t="inlineStr">
        <is>
          <t>Offer C</t>
        </is>
      </c>
      <c r="B8" s="4" t="n"/>
      <c r="C8" s="4" t="n"/>
      <c r="D8" s="5" t="n"/>
      <c r="E8" s="4" t="n"/>
      <c r="F8" s="4" t="n"/>
      <c r="G8" s="6" t="n"/>
      <c r="H8" s="4" t="n"/>
      <c r="I8" s="4" t="n"/>
      <c r="J8" s="7">
        <f>(((D8*100000*E8/100)+(D8*100000*F8/100))/12 + G8/12)-(IF(I8="None",0,IF(I8="Full",(D8*100000*E8/100)/12*0.40*0.12,MIN(15000,(D8*100000*E8/100)/12*0.40)*0.12)))</f>
        <v/>
      </c>
      <c r="K8" s="5" t="n"/>
      <c r="L8" s="5" t="n"/>
      <c r="M8" s="5" t="n"/>
      <c r="N8" s="8">
        <f>N6</f>
        <v/>
      </c>
      <c r="O8" s="8">
        <f>O6</f>
        <v/>
      </c>
      <c r="P8" s="8">
        <f>P6</f>
        <v/>
      </c>
      <c r="Q8" s="8">
        <f>K8*N8 + L8*O8 + M8*P8</f>
        <v/>
      </c>
    </row>
    <row r="11">
      <c r="A11" s="9" t="inlineStr">
        <is>
          <t>Offer Ranking (Best → Lowest)</t>
        </is>
      </c>
    </row>
    <row r="12">
      <c r="A12" s="3" t="inlineStr">
        <is>
          <t>Rank</t>
        </is>
      </c>
      <c r="B12" s="3" t="inlineStr">
        <is>
          <t>Offer</t>
        </is>
      </c>
      <c r="C12" s="3" t="inlineStr">
        <is>
          <t>Score</t>
        </is>
      </c>
    </row>
    <row r="13">
      <c r="A13" s="10" t="n">
        <v>1</v>
      </c>
      <c r="B13" s="10">
        <f>INDEX($A$6:$A$8, MATCH(LARGE($Q$6:$Q$8,1), $Q$6:$Q$8,0))</f>
        <v/>
      </c>
      <c r="C13" s="8">
        <f>LARGE($Q$6:$Q$8,1)</f>
        <v/>
      </c>
    </row>
    <row r="14">
      <c r="A14" s="10" t="n">
        <v>2</v>
      </c>
      <c r="B14" s="10">
        <f>INDEX($A$6:$A$8, MATCH(LARGE($Q$6:$Q$8,2), $Q$6:$Q$8,0))</f>
        <v/>
      </c>
      <c r="C14" s="8">
        <f>LARGE($Q$6:$Q$8,2)</f>
        <v/>
      </c>
    </row>
    <row r="15">
      <c r="A15" s="10" t="n">
        <v>3</v>
      </c>
      <c r="B15" s="10">
        <f>INDEX($A$6:$A$8, MATCH(LARGE($Q$6:$Q$8,3), $Q$6:$Q$8,0))</f>
        <v/>
      </c>
      <c r="C15" s="8">
        <f>LARGE($Q$6:$Q$8,3)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3:Q3"/>
    <mergeCell ref="A1:Q1"/>
    <mergeCell ref="A11:C11"/>
  </mergeCells>
  <dataValidations count="2">
    <dataValidation sqref="I6 I7 I8" showDropDown="0" showInputMessage="0" showErrorMessage="0" allowBlank="1" type="list">
      <formula1>"Full,Capped,None"</formula1>
    </dataValidation>
    <dataValidation sqref="K6 K7 K8 L6 L7 L8 M6 M7 M8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2025-12-09T07:25:46Z</dcterms:created>
  <dcterms:modified xsi:type="dcterms:W3CDTF">2025-12-09T07:25:46Z</dcterms:modified>
</cp:coreProperties>
</file>