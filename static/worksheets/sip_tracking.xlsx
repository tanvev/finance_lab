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P Tracker" sheetId="1" state="visible" r:id="rId1"/>
  </sheets>
  <definedNames/>
  <calcPr calcId="124519" fullCalcOnLoad="1"/>
</workbook>
</file>

<file path=xl/styles.xml><?xml version="1.0" encoding="utf-8"?>
<styleSheet xmlns="http://schemas.openxmlformats.org/spreadsheetml/2006/main">
  <numFmts count="5">
    <numFmt numFmtId="164" formatCode="yyyy-mm-dd"/>
    <numFmt numFmtId="165" formatCode="#,##,##0.00"/>
    <numFmt numFmtId="166" formatCode="0.0000"/>
    <numFmt numFmtId="167" formatCode="0.000"/>
    <numFmt numFmtId="168" formatCode="0.0%"/>
  </numFmts>
  <fonts count="6">
    <font>
      <name val="Calibri"/>
      <family val="2"/>
      <color theme="1"/>
      <sz val="11"/>
      <scheme val="minor"/>
    </font>
    <font>
      <b val="1"/>
      <color rgb="00FFFFFF"/>
      <sz val="16"/>
    </font>
    <font>
      <color rgb="004E5D6C"/>
      <sz val="10"/>
    </font>
    <font>
      <b val="1"/>
      <color rgb="001D3557"/>
      <sz val="11"/>
    </font>
    <font>
      <b val="1"/>
      <color rgb="001D3557"/>
      <sz val="12"/>
    </font>
    <font>
      <b val="1"/>
      <color rgb="004E5D6C"/>
      <sz val="10"/>
    </font>
  </fonts>
  <fills count="4">
    <fill>
      <patternFill/>
    </fill>
    <fill>
      <patternFill patternType="gray125"/>
    </fill>
    <fill>
      <patternFill patternType="solid">
        <fgColor rgb="001D3557"/>
      </patternFill>
    </fill>
    <fill>
      <patternFill patternType="solid">
        <fgColor rgb="00A9D6F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3" borderId="1" applyAlignment="1" pivotButton="0" quotePrefix="0" xfId="0">
      <alignment horizontal="center"/>
    </xf>
    <xf numFmtId="164" fontId="2" fillId="0" borderId="1" applyProtection="1" pivotButton="0" quotePrefix="0" xfId="0">
      <protection locked="0" hidden="0"/>
    </xf>
    <xf numFmtId="0" fontId="2" fillId="0" borderId="1" applyProtection="1" pivotButton="0" quotePrefix="0" xfId="0">
      <protection locked="0" hidden="0"/>
    </xf>
    <xf numFmtId="165" fontId="2" fillId="0" borderId="1" applyProtection="1" pivotButton="0" quotePrefix="0" xfId="0">
      <protection locked="0" hidden="0"/>
    </xf>
    <xf numFmtId="166" fontId="2" fillId="0" borderId="1" applyProtection="1" pivotButton="0" quotePrefix="0" xfId="0">
      <protection locked="0" hidden="0"/>
    </xf>
    <xf numFmtId="167" fontId="2" fillId="0" borderId="1" pivotButton="0" quotePrefix="0" xfId="0"/>
    <xf numFmtId="165" fontId="2" fillId="0" borderId="1" pivotButton="0" quotePrefix="0" xfId="0"/>
    <xf numFmtId="0" fontId="4" fillId="0" borderId="0" pivotButton="0" quotePrefix="0" xfId="0"/>
    <xf numFmtId="0" fontId="5" fillId="0" borderId="0" pivotButton="0" quotePrefix="0" xfId="0"/>
    <xf numFmtId="165" fontId="5"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12" customWidth="1" min="1" max="1"/>
    <col width="22" customWidth="1" min="2" max="2"/>
    <col width="18" customWidth="1" min="3" max="3"/>
    <col width="14" customWidth="1" min="4" max="4"/>
    <col width="14" customWidth="1" min="5" max="5"/>
    <col width="12" customWidth="1" min="6" max="6"/>
    <col width="14" customWidth="1" min="7" max="7"/>
    <col width="18" customWidth="1" min="8" max="8"/>
    <col width="16" customWidth="1" min="9" max="9"/>
  </cols>
  <sheetData>
    <row r="1">
      <c r="A1" s="1" t="inlineStr">
        <is>
          <t>SIP Tracking Sheet - Blue Steel</t>
        </is>
      </c>
    </row>
    <row r="3">
      <c r="A3" s="2" t="inlineStr">
        <is>
          <t>Track your SIPs by fund. Use 'Cash Flow (₹)' column for XIRR (investments negative, redemptions positive).</t>
        </is>
      </c>
    </row>
    <row r="5">
      <c r="A5" s="3" t="inlineStr">
        <is>
          <t>Date</t>
        </is>
      </c>
      <c r="B5" s="3" t="inlineStr">
        <is>
          <t>Fund Name</t>
        </is>
      </c>
      <c r="C5" s="3" t="inlineStr">
        <is>
          <t>Type (SIP/Lumpsum/Redemption)</t>
        </is>
      </c>
      <c r="D5" s="3" t="inlineStr">
        <is>
          <t>Amount (₹)</t>
        </is>
      </c>
      <c r="E5" s="3" t="inlineStr">
        <is>
          <t>NAV at Purchase</t>
        </is>
      </c>
      <c r="F5" s="3" t="inlineStr">
        <is>
          <t>Units</t>
        </is>
      </c>
      <c r="G5" s="3" t="inlineStr">
        <is>
          <t>Current NAV</t>
        </is>
      </c>
      <c r="H5" s="3" t="inlineStr">
        <is>
          <t>Current Value (₹)</t>
        </is>
      </c>
      <c r="I5" s="3" t="inlineStr">
        <is>
          <t>Cash Flow (₹)</t>
        </is>
      </c>
    </row>
    <row r="6">
      <c r="A6" s="4" t="n"/>
      <c r="B6" s="5" t="n"/>
      <c r="C6" s="5" t="n"/>
      <c r="D6" s="6" t="n"/>
      <c r="E6" s="7" t="n"/>
      <c r="F6" s="8">
        <f>IF(AND(D6&gt;0,E6&gt;0), D6/E6, "")</f>
        <v/>
      </c>
      <c r="G6" s="7" t="n"/>
      <c r="H6" s="9">
        <f>IF(AND(F6&gt;0,G6&gt;0), F6*G6, "")</f>
        <v/>
      </c>
      <c r="I6" s="9">
        <f>IF(C6="Redemption", D6, IF(OR(C6="SIP",C6="Lumpsum"), -D6, ""))</f>
        <v/>
      </c>
    </row>
    <row r="7">
      <c r="A7" s="4" t="n"/>
      <c r="B7" s="5" t="n"/>
      <c r="C7" s="5" t="n"/>
      <c r="D7" s="6" t="n"/>
      <c r="E7" s="7" t="n"/>
      <c r="F7" s="8">
        <f>IF(AND(D7&gt;0,E7&gt;0), D7/E7, "")</f>
        <v/>
      </c>
      <c r="G7" s="7" t="n"/>
      <c r="H7" s="9">
        <f>IF(AND(F7&gt;0,G7&gt;0), F7*G7, "")</f>
        <v/>
      </c>
      <c r="I7" s="9">
        <f>IF(C7="Redemption", D7, IF(OR(C7="SIP",C7="Lumpsum"), -D7, ""))</f>
        <v/>
      </c>
    </row>
    <row r="8">
      <c r="A8" s="4" t="n"/>
      <c r="B8" s="5" t="n"/>
      <c r="C8" s="5" t="n"/>
      <c r="D8" s="6" t="n"/>
      <c r="E8" s="7" t="n"/>
      <c r="F8" s="8">
        <f>IF(AND(D8&gt;0,E8&gt;0), D8/E8, "")</f>
        <v/>
      </c>
      <c r="G8" s="7" t="n"/>
      <c r="H8" s="9">
        <f>IF(AND(F8&gt;0,G8&gt;0), F8*G8, "")</f>
        <v/>
      </c>
      <c r="I8" s="9">
        <f>IF(C8="Redemption", D8, IF(OR(C8="SIP",C8="Lumpsum"), -D8, ""))</f>
        <v/>
      </c>
    </row>
    <row r="9">
      <c r="A9" s="4" t="n"/>
      <c r="B9" s="5" t="n"/>
      <c r="C9" s="5" t="n"/>
      <c r="D9" s="6" t="n"/>
      <c r="E9" s="7" t="n"/>
      <c r="F9" s="8">
        <f>IF(AND(D9&gt;0,E9&gt;0), D9/E9, "")</f>
        <v/>
      </c>
      <c r="G9" s="7" t="n"/>
      <c r="H9" s="9">
        <f>IF(AND(F9&gt;0,G9&gt;0), F9*G9, "")</f>
        <v/>
      </c>
      <c r="I9" s="9">
        <f>IF(C9="Redemption", D9, IF(OR(C9="SIP",C9="Lumpsum"), -D9, ""))</f>
        <v/>
      </c>
    </row>
    <row r="10">
      <c r="A10" s="4" t="n"/>
      <c r="B10" s="5" t="n"/>
      <c r="C10" s="5" t="n"/>
      <c r="D10" s="6" t="n"/>
      <c r="E10" s="7" t="n"/>
      <c r="F10" s="8">
        <f>IF(AND(D10&gt;0,E10&gt;0), D10/E10, "")</f>
        <v/>
      </c>
      <c r="G10" s="7" t="n"/>
      <c r="H10" s="9">
        <f>IF(AND(F10&gt;0,G10&gt;0), F10*G10, "")</f>
        <v/>
      </c>
      <c r="I10" s="9">
        <f>IF(C10="Redemption", D10, IF(OR(C10="SIP",C10="Lumpsum"), -D10, ""))</f>
        <v/>
      </c>
    </row>
    <row r="11">
      <c r="A11" s="4" t="n"/>
      <c r="B11" s="5" t="n"/>
      <c r="C11" s="5" t="n"/>
      <c r="D11" s="6" t="n"/>
      <c r="E11" s="7" t="n"/>
      <c r="F11" s="8">
        <f>IF(AND(D11&gt;0,E11&gt;0), D11/E11, "")</f>
        <v/>
      </c>
      <c r="G11" s="7" t="n"/>
      <c r="H11" s="9">
        <f>IF(AND(F11&gt;0,G11&gt;0), F11*G11, "")</f>
        <v/>
      </c>
      <c r="I11" s="9">
        <f>IF(C11="Redemption", D11, IF(OR(C11="SIP",C11="Lumpsum"), -D11, ""))</f>
        <v/>
      </c>
    </row>
    <row r="12">
      <c r="A12" s="4" t="n"/>
      <c r="B12" s="5" t="n"/>
      <c r="C12" s="5" t="n"/>
      <c r="D12" s="6" t="n"/>
      <c r="E12" s="7" t="n"/>
      <c r="F12" s="8">
        <f>IF(AND(D12&gt;0,E12&gt;0), D12/E12, "")</f>
        <v/>
      </c>
      <c r="G12" s="7" t="n"/>
      <c r="H12" s="9">
        <f>IF(AND(F12&gt;0,G12&gt;0), F12*G12, "")</f>
        <v/>
      </c>
      <c r="I12" s="9">
        <f>IF(C12="Redemption", D12, IF(OR(C12="SIP",C12="Lumpsum"), -D12, ""))</f>
        <v/>
      </c>
    </row>
    <row r="13">
      <c r="A13" s="4" t="n"/>
      <c r="B13" s="5" t="n"/>
      <c r="C13" s="5" t="n"/>
      <c r="D13" s="6" t="n"/>
      <c r="E13" s="7" t="n"/>
      <c r="F13" s="8">
        <f>IF(AND(D13&gt;0,E13&gt;0), D13/E13, "")</f>
        <v/>
      </c>
      <c r="G13" s="7" t="n"/>
      <c r="H13" s="9">
        <f>IF(AND(F13&gt;0,G13&gt;0), F13*G13, "")</f>
        <v/>
      </c>
      <c r="I13" s="9">
        <f>IF(C13="Redemption", D13, IF(OR(C13="SIP",C13="Lumpsum"), -D13, ""))</f>
        <v/>
      </c>
    </row>
    <row r="14">
      <c r="A14" s="4" t="n"/>
      <c r="B14" s="5" t="n"/>
      <c r="C14" s="5" t="n"/>
      <c r="D14" s="6" t="n"/>
      <c r="E14" s="7" t="n"/>
      <c r="F14" s="8">
        <f>IF(AND(D14&gt;0,E14&gt;0), D14/E14, "")</f>
        <v/>
      </c>
      <c r="G14" s="7" t="n"/>
      <c r="H14" s="9">
        <f>IF(AND(F14&gt;0,G14&gt;0), F14*G14, "")</f>
        <v/>
      </c>
      <c r="I14" s="9">
        <f>IF(C14="Redemption", D14, IF(OR(C14="SIP",C14="Lumpsum"), -D14, ""))</f>
        <v/>
      </c>
    </row>
    <row r="15">
      <c r="A15" s="4" t="n"/>
      <c r="B15" s="5" t="n"/>
      <c r="C15" s="5" t="n"/>
      <c r="D15" s="6" t="n"/>
      <c r="E15" s="7" t="n"/>
      <c r="F15" s="8">
        <f>IF(AND(D15&gt;0,E15&gt;0), D15/E15, "")</f>
        <v/>
      </c>
      <c r="G15" s="7" t="n"/>
      <c r="H15" s="9">
        <f>IF(AND(F15&gt;0,G15&gt;0), F15*G15, "")</f>
        <v/>
      </c>
      <c r="I15" s="9">
        <f>IF(C15="Redemption", D15, IF(OR(C15="SIP",C15="Lumpsum"), -D15, ""))</f>
        <v/>
      </c>
    </row>
    <row r="16">
      <c r="A16" s="4" t="n"/>
      <c r="B16" s="5" t="n"/>
      <c r="C16" s="5" t="n"/>
      <c r="D16" s="6" t="n"/>
      <c r="E16" s="7" t="n"/>
      <c r="F16" s="8">
        <f>IF(AND(D16&gt;0,E16&gt;0), D16/E16, "")</f>
        <v/>
      </c>
      <c r="G16" s="7" t="n"/>
      <c r="H16" s="9">
        <f>IF(AND(F16&gt;0,G16&gt;0), F16*G16, "")</f>
        <v/>
      </c>
      <c r="I16" s="9">
        <f>IF(C16="Redemption", D16, IF(OR(C16="SIP",C16="Lumpsum"), -D16, ""))</f>
        <v/>
      </c>
    </row>
    <row r="17">
      <c r="A17" s="4" t="n"/>
      <c r="B17" s="5" t="n"/>
      <c r="C17" s="5" t="n"/>
      <c r="D17" s="6" t="n"/>
      <c r="E17" s="7" t="n"/>
      <c r="F17" s="8">
        <f>IF(AND(D17&gt;0,E17&gt;0), D17/E17, "")</f>
        <v/>
      </c>
      <c r="G17" s="7" t="n"/>
      <c r="H17" s="9">
        <f>IF(AND(F17&gt;0,G17&gt;0), F17*G17, "")</f>
        <v/>
      </c>
      <c r="I17" s="9">
        <f>IF(C17="Redemption", D17, IF(OR(C17="SIP",C17="Lumpsum"), -D17, ""))</f>
        <v/>
      </c>
    </row>
    <row r="18">
      <c r="A18" s="4" t="n"/>
      <c r="B18" s="5" t="n"/>
      <c r="C18" s="5" t="n"/>
      <c r="D18" s="6" t="n"/>
      <c r="E18" s="7" t="n"/>
      <c r="F18" s="8">
        <f>IF(AND(D18&gt;0,E18&gt;0), D18/E18, "")</f>
        <v/>
      </c>
      <c r="G18" s="7" t="n"/>
      <c r="H18" s="9">
        <f>IF(AND(F18&gt;0,G18&gt;0), F18*G18, "")</f>
        <v/>
      </c>
      <c r="I18" s="9">
        <f>IF(C18="Redemption", D18, IF(OR(C18="SIP",C18="Lumpsum"), -D18, ""))</f>
        <v/>
      </c>
    </row>
    <row r="19">
      <c r="A19" s="4" t="n"/>
      <c r="B19" s="5" t="n"/>
      <c r="C19" s="5" t="n"/>
      <c r="D19" s="6" t="n"/>
      <c r="E19" s="7" t="n"/>
      <c r="F19" s="8">
        <f>IF(AND(D19&gt;0,E19&gt;0), D19/E19, "")</f>
        <v/>
      </c>
      <c r="G19" s="7" t="n"/>
      <c r="H19" s="9">
        <f>IF(AND(F19&gt;0,G19&gt;0), F19*G19, "")</f>
        <v/>
      </c>
      <c r="I19" s="9">
        <f>IF(C19="Redemption", D19, IF(OR(C19="SIP",C19="Lumpsum"), -D19, ""))</f>
        <v/>
      </c>
    </row>
    <row r="20">
      <c r="A20" s="4" t="n"/>
      <c r="B20" s="5" t="n"/>
      <c r="C20" s="5" t="n"/>
      <c r="D20" s="6" t="n"/>
      <c r="E20" s="7" t="n"/>
      <c r="F20" s="8">
        <f>IF(AND(D20&gt;0,E20&gt;0), D20/E20, "")</f>
        <v/>
      </c>
      <c r="G20" s="7" t="n"/>
      <c r="H20" s="9">
        <f>IF(AND(F20&gt;0,G20&gt;0), F20*G20, "")</f>
        <v/>
      </c>
      <c r="I20" s="9">
        <f>IF(C20="Redemption", D20, IF(OR(C20="SIP",C20="Lumpsum"), -D20, ""))</f>
        <v/>
      </c>
    </row>
    <row r="21">
      <c r="A21" s="4" t="n"/>
      <c r="B21" s="5" t="n"/>
      <c r="C21" s="5" t="n"/>
      <c r="D21" s="6" t="n"/>
      <c r="E21" s="7" t="n"/>
      <c r="F21" s="8">
        <f>IF(AND(D21&gt;0,E21&gt;0), D21/E21, "")</f>
        <v/>
      </c>
      <c r="G21" s="7" t="n"/>
      <c r="H21" s="9">
        <f>IF(AND(F21&gt;0,G21&gt;0), F21*G21, "")</f>
        <v/>
      </c>
      <c r="I21" s="9">
        <f>IF(C21="Redemption", D21, IF(OR(C21="SIP",C21="Lumpsum"), -D21, ""))</f>
        <v/>
      </c>
    </row>
    <row r="22">
      <c r="A22" s="4" t="n"/>
      <c r="B22" s="5" t="n"/>
      <c r="C22" s="5" t="n"/>
      <c r="D22" s="6" t="n"/>
      <c r="E22" s="7" t="n"/>
      <c r="F22" s="8">
        <f>IF(AND(D22&gt;0,E22&gt;0), D22/E22, "")</f>
        <v/>
      </c>
      <c r="G22" s="7" t="n"/>
      <c r="H22" s="9">
        <f>IF(AND(F22&gt;0,G22&gt;0), F22*G22, "")</f>
        <v/>
      </c>
      <c r="I22" s="9">
        <f>IF(C22="Redemption", D22, IF(OR(C22="SIP",C22="Lumpsum"), -D22, ""))</f>
        <v/>
      </c>
    </row>
    <row r="23">
      <c r="A23" s="4" t="n"/>
      <c r="B23" s="5" t="n"/>
      <c r="C23" s="5" t="n"/>
      <c r="D23" s="6" t="n"/>
      <c r="E23" s="7" t="n"/>
      <c r="F23" s="8">
        <f>IF(AND(D23&gt;0,E23&gt;0), D23/E23, "")</f>
        <v/>
      </c>
      <c r="G23" s="7" t="n"/>
      <c r="H23" s="9">
        <f>IF(AND(F23&gt;0,G23&gt;0), F23*G23, "")</f>
        <v/>
      </c>
      <c r="I23" s="9">
        <f>IF(C23="Redemption", D23, IF(OR(C23="SIP",C23="Lumpsum"), -D23, ""))</f>
        <v/>
      </c>
    </row>
    <row r="24">
      <c r="A24" s="4" t="n"/>
      <c r="B24" s="5" t="n"/>
      <c r="C24" s="5" t="n"/>
      <c r="D24" s="6" t="n"/>
      <c r="E24" s="7" t="n"/>
      <c r="F24" s="8">
        <f>IF(AND(D24&gt;0,E24&gt;0), D24/E24, "")</f>
        <v/>
      </c>
      <c r="G24" s="7" t="n"/>
      <c r="H24" s="9">
        <f>IF(AND(F24&gt;0,G24&gt;0), F24*G24, "")</f>
        <v/>
      </c>
      <c r="I24" s="9">
        <f>IF(C24="Redemption", D24, IF(OR(C24="SIP",C24="Lumpsum"), -D24, ""))</f>
        <v/>
      </c>
    </row>
    <row r="25">
      <c r="A25" s="4" t="n"/>
      <c r="B25" s="5" t="n"/>
      <c r="C25" s="5" t="n"/>
      <c r="D25" s="6" t="n"/>
      <c r="E25" s="7" t="n"/>
      <c r="F25" s="8">
        <f>IF(AND(D25&gt;0,E25&gt;0), D25/E25, "")</f>
        <v/>
      </c>
      <c r="G25" s="7" t="n"/>
      <c r="H25" s="9">
        <f>IF(AND(F25&gt;0,G25&gt;0), F25*G25, "")</f>
        <v/>
      </c>
      <c r="I25" s="9">
        <f>IF(C25="Redemption", D25, IF(OR(C25="SIP",C25="Lumpsum"), -D25, ""))</f>
        <v/>
      </c>
    </row>
    <row r="26">
      <c r="A26" s="4" t="n"/>
      <c r="B26" s="5" t="n"/>
      <c r="C26" s="5" t="n"/>
      <c r="D26" s="6" t="n"/>
      <c r="E26" s="7" t="n"/>
      <c r="F26" s="8">
        <f>IF(AND(D26&gt;0,E26&gt;0), D26/E26, "")</f>
        <v/>
      </c>
      <c r="G26" s="7" t="n"/>
      <c r="H26" s="9">
        <f>IF(AND(F26&gt;0,G26&gt;0), F26*G26, "")</f>
        <v/>
      </c>
      <c r="I26" s="9">
        <f>IF(C26="Redemption", D26, IF(OR(C26="SIP",C26="Lumpsum"), -D26, ""))</f>
        <v/>
      </c>
    </row>
    <row r="27">
      <c r="A27" s="4" t="n"/>
      <c r="B27" s="5" t="n"/>
      <c r="C27" s="5" t="n"/>
      <c r="D27" s="6" t="n"/>
      <c r="E27" s="7" t="n"/>
      <c r="F27" s="8">
        <f>IF(AND(D27&gt;0,E27&gt;0), D27/E27, "")</f>
        <v/>
      </c>
      <c r="G27" s="7" t="n"/>
      <c r="H27" s="9">
        <f>IF(AND(F27&gt;0,G27&gt;0), F27*G27, "")</f>
        <v/>
      </c>
      <c r="I27" s="9">
        <f>IF(C27="Redemption", D27, IF(OR(C27="SIP",C27="Lumpsum"), -D27, ""))</f>
        <v/>
      </c>
    </row>
    <row r="28">
      <c r="A28" s="4" t="n"/>
      <c r="B28" s="5" t="n"/>
      <c r="C28" s="5" t="n"/>
      <c r="D28" s="6" t="n"/>
      <c r="E28" s="7" t="n"/>
      <c r="F28" s="8">
        <f>IF(AND(D28&gt;0,E28&gt;0), D28/E28, "")</f>
        <v/>
      </c>
      <c r="G28" s="7" t="n"/>
      <c r="H28" s="9">
        <f>IF(AND(F28&gt;0,G28&gt;0), F28*G28, "")</f>
        <v/>
      </c>
      <c r="I28" s="9">
        <f>IF(C28="Redemption", D28, IF(OR(C28="SIP",C28="Lumpsum"), -D28, ""))</f>
        <v/>
      </c>
    </row>
    <row r="29">
      <c r="A29" s="4" t="n"/>
      <c r="B29" s="5" t="n"/>
      <c r="C29" s="5" t="n"/>
      <c r="D29" s="6" t="n"/>
      <c r="E29" s="7" t="n"/>
      <c r="F29" s="8">
        <f>IF(AND(D29&gt;0,E29&gt;0), D29/E29, "")</f>
        <v/>
      </c>
      <c r="G29" s="7" t="n"/>
      <c r="H29" s="9">
        <f>IF(AND(F29&gt;0,G29&gt;0), F29*G29, "")</f>
        <v/>
      </c>
      <c r="I29" s="9">
        <f>IF(C29="Redemption", D29, IF(OR(C29="SIP",C29="Lumpsum"), -D29, ""))</f>
        <v/>
      </c>
    </row>
    <row r="30">
      <c r="A30" s="4" t="n"/>
      <c r="B30" s="5" t="n"/>
      <c r="C30" s="5" t="n"/>
      <c r="D30" s="6" t="n"/>
      <c r="E30" s="7" t="n"/>
      <c r="F30" s="8">
        <f>IF(AND(D30&gt;0,E30&gt;0), D30/E30, "")</f>
        <v/>
      </c>
      <c r="G30" s="7" t="n"/>
      <c r="H30" s="9">
        <f>IF(AND(F30&gt;0,G30&gt;0), F30*G30, "")</f>
        <v/>
      </c>
      <c r="I30" s="9">
        <f>IF(C30="Redemption", D30, IF(OR(C30="SIP",C30="Lumpsum"), -D30, ""))</f>
        <v/>
      </c>
    </row>
    <row r="31">
      <c r="A31" s="4" t="n"/>
      <c r="B31" s="5" t="n"/>
      <c r="C31" s="5" t="n"/>
      <c r="D31" s="6" t="n"/>
      <c r="E31" s="7" t="n"/>
      <c r="F31" s="8">
        <f>IF(AND(D31&gt;0,E31&gt;0), D31/E31, "")</f>
        <v/>
      </c>
      <c r="G31" s="7" t="n"/>
      <c r="H31" s="9">
        <f>IF(AND(F31&gt;0,G31&gt;0), F31*G31, "")</f>
        <v/>
      </c>
      <c r="I31" s="9">
        <f>IF(C31="Redemption", D31, IF(OR(C31="SIP",C31="Lumpsum"), -D31, ""))</f>
        <v/>
      </c>
    </row>
    <row r="32">
      <c r="A32" s="4" t="n"/>
      <c r="B32" s="5" t="n"/>
      <c r="C32" s="5" t="n"/>
      <c r="D32" s="6" t="n"/>
      <c r="E32" s="7" t="n"/>
      <c r="F32" s="8">
        <f>IF(AND(D32&gt;0,E32&gt;0), D32/E32, "")</f>
        <v/>
      </c>
      <c r="G32" s="7" t="n"/>
      <c r="H32" s="9">
        <f>IF(AND(F32&gt;0,G32&gt;0), F32*G32, "")</f>
        <v/>
      </c>
      <c r="I32" s="9">
        <f>IF(C32="Redemption", D32, IF(OR(C32="SIP",C32="Lumpsum"), -D32, ""))</f>
        <v/>
      </c>
    </row>
    <row r="33">
      <c r="A33" s="4" t="n"/>
      <c r="B33" s="5" t="n"/>
      <c r="C33" s="5" t="n"/>
      <c r="D33" s="6" t="n"/>
      <c r="E33" s="7" t="n"/>
      <c r="F33" s="8">
        <f>IF(AND(D33&gt;0,E33&gt;0), D33/E33, "")</f>
        <v/>
      </c>
      <c r="G33" s="7" t="n"/>
      <c r="H33" s="9">
        <f>IF(AND(F33&gt;0,G33&gt;0), F33*G33, "")</f>
        <v/>
      </c>
      <c r="I33" s="9">
        <f>IF(C33="Redemption", D33, IF(OR(C33="SIP",C33="Lumpsum"), -D33, ""))</f>
        <v/>
      </c>
    </row>
    <row r="34">
      <c r="A34" s="4" t="n"/>
      <c r="B34" s="5" t="n"/>
      <c r="C34" s="5" t="n"/>
      <c r="D34" s="6" t="n"/>
      <c r="E34" s="7" t="n"/>
      <c r="F34" s="8">
        <f>IF(AND(D34&gt;0,E34&gt;0), D34/E34, "")</f>
        <v/>
      </c>
      <c r="G34" s="7" t="n"/>
      <c r="H34" s="9">
        <f>IF(AND(F34&gt;0,G34&gt;0), F34*G34, "")</f>
        <v/>
      </c>
      <c r="I34" s="9">
        <f>IF(C34="Redemption", D34, IF(OR(C34="SIP",C34="Lumpsum"), -D34, ""))</f>
        <v/>
      </c>
    </row>
    <row r="35">
      <c r="A35" s="4" t="n"/>
      <c r="B35" s="5" t="n"/>
      <c r="C35" s="5" t="n"/>
      <c r="D35" s="6" t="n"/>
      <c r="E35" s="7" t="n"/>
      <c r="F35" s="8">
        <f>IF(AND(D35&gt;0,E35&gt;0), D35/E35, "")</f>
        <v/>
      </c>
      <c r="G35" s="7" t="n"/>
      <c r="H35" s="9">
        <f>IF(AND(F35&gt;0,G35&gt;0), F35*G35, "")</f>
        <v/>
      </c>
      <c r="I35" s="9">
        <f>IF(C35="Redemption", D35, IF(OR(C35="SIP",C35="Lumpsum"), -D35, ""))</f>
        <v/>
      </c>
    </row>
    <row r="36">
      <c r="A36" s="4" t="n"/>
      <c r="B36" s="5" t="n"/>
      <c r="C36" s="5" t="n"/>
      <c r="D36" s="6" t="n"/>
      <c r="E36" s="7" t="n"/>
      <c r="F36" s="8">
        <f>IF(AND(D36&gt;0,E36&gt;0), D36/E36, "")</f>
        <v/>
      </c>
      <c r="G36" s="7" t="n"/>
      <c r="H36" s="9">
        <f>IF(AND(F36&gt;0,G36&gt;0), F36*G36, "")</f>
        <v/>
      </c>
      <c r="I36" s="9">
        <f>IF(C36="Redemption", D36, IF(OR(C36="SIP",C36="Lumpsum"), -D36, ""))</f>
        <v/>
      </c>
    </row>
    <row r="37">
      <c r="A37" s="4" t="n"/>
      <c r="B37" s="5" t="n"/>
      <c r="C37" s="5" t="n"/>
      <c r="D37" s="6" t="n"/>
      <c r="E37" s="7" t="n"/>
      <c r="F37" s="8">
        <f>IF(AND(D37&gt;0,E37&gt;0), D37/E37, "")</f>
        <v/>
      </c>
      <c r="G37" s="7" t="n"/>
      <c r="H37" s="9">
        <f>IF(AND(F37&gt;0,G37&gt;0), F37*G37, "")</f>
        <v/>
      </c>
      <c r="I37" s="9">
        <f>IF(C37="Redemption", D37, IF(OR(C37="SIP",C37="Lumpsum"), -D37, ""))</f>
        <v/>
      </c>
    </row>
    <row r="38">
      <c r="A38" s="4" t="n"/>
      <c r="B38" s="5" t="n"/>
      <c r="C38" s="5" t="n"/>
      <c r="D38" s="6" t="n"/>
      <c r="E38" s="7" t="n"/>
      <c r="F38" s="8">
        <f>IF(AND(D38&gt;0,E38&gt;0), D38/E38, "")</f>
        <v/>
      </c>
      <c r="G38" s="7" t="n"/>
      <c r="H38" s="9">
        <f>IF(AND(F38&gt;0,G38&gt;0), F38*G38, "")</f>
        <v/>
      </c>
      <c r="I38" s="9">
        <f>IF(C38="Redemption", D38, IF(OR(C38="SIP",C38="Lumpsum"), -D38, ""))</f>
        <v/>
      </c>
    </row>
    <row r="39">
      <c r="A39" s="4" t="n"/>
      <c r="B39" s="5" t="n"/>
      <c r="C39" s="5" t="n"/>
      <c r="D39" s="6" t="n"/>
      <c r="E39" s="7" t="n"/>
      <c r="F39" s="8">
        <f>IF(AND(D39&gt;0,E39&gt;0), D39/E39, "")</f>
        <v/>
      </c>
      <c r="G39" s="7" t="n"/>
      <c r="H39" s="9">
        <f>IF(AND(F39&gt;0,G39&gt;0), F39*G39, "")</f>
        <v/>
      </c>
      <c r="I39" s="9">
        <f>IF(C39="Redemption", D39, IF(OR(C39="SIP",C39="Lumpsum"), -D39, ""))</f>
        <v/>
      </c>
    </row>
    <row r="40">
      <c r="A40" s="4" t="n"/>
      <c r="B40" s="5" t="n"/>
      <c r="C40" s="5" t="n"/>
      <c r="D40" s="6" t="n"/>
      <c r="E40" s="7" t="n"/>
      <c r="F40" s="8">
        <f>IF(AND(D40&gt;0,E40&gt;0), D40/E40, "")</f>
        <v/>
      </c>
      <c r="G40" s="7" t="n"/>
      <c r="H40" s="9">
        <f>IF(AND(F40&gt;0,G40&gt;0), F40*G40, "")</f>
        <v/>
      </c>
      <c r="I40" s="9">
        <f>IF(C40="Redemption", D40, IF(OR(C40="SIP",C40="Lumpsum"), -D40, ""))</f>
        <v/>
      </c>
    </row>
    <row r="41">
      <c r="A41" s="4" t="n"/>
      <c r="B41" s="5" t="n"/>
      <c r="C41" s="5" t="n"/>
      <c r="D41" s="6" t="n"/>
      <c r="E41" s="7" t="n"/>
      <c r="F41" s="8">
        <f>IF(AND(D41&gt;0,E41&gt;0), D41/E41, "")</f>
        <v/>
      </c>
      <c r="G41" s="7" t="n"/>
      <c r="H41" s="9">
        <f>IF(AND(F41&gt;0,G41&gt;0), F41*G41, "")</f>
        <v/>
      </c>
      <c r="I41" s="9">
        <f>IF(C41="Redemption", D41, IF(OR(C41="SIP",C41="Lumpsum"), -D41, ""))</f>
        <v/>
      </c>
    </row>
    <row r="42">
      <c r="A42" s="4" t="n"/>
      <c r="B42" s="5" t="n"/>
      <c r="C42" s="5" t="n"/>
      <c r="D42" s="6" t="n"/>
      <c r="E42" s="7" t="n"/>
      <c r="F42" s="8">
        <f>IF(AND(D42&gt;0,E42&gt;0), D42/E42, "")</f>
        <v/>
      </c>
      <c r="G42" s="7" t="n"/>
      <c r="H42" s="9">
        <f>IF(AND(F42&gt;0,G42&gt;0), F42*G42, "")</f>
        <v/>
      </c>
      <c r="I42" s="9">
        <f>IF(C42="Redemption", D42, IF(OR(C42="SIP",C42="Lumpsum"), -D42, ""))</f>
        <v/>
      </c>
    </row>
    <row r="43">
      <c r="A43" s="4" t="n"/>
      <c r="B43" s="5" t="n"/>
      <c r="C43" s="5" t="n"/>
      <c r="D43" s="6" t="n"/>
      <c r="E43" s="7" t="n"/>
      <c r="F43" s="8">
        <f>IF(AND(D43&gt;0,E43&gt;0), D43/E43, "")</f>
        <v/>
      </c>
      <c r="G43" s="7" t="n"/>
      <c r="H43" s="9">
        <f>IF(AND(F43&gt;0,G43&gt;0), F43*G43, "")</f>
        <v/>
      </c>
      <c r="I43" s="9">
        <f>IF(C43="Redemption", D43, IF(OR(C43="SIP",C43="Lumpsum"), -D43, ""))</f>
        <v/>
      </c>
    </row>
    <row r="44">
      <c r="A44" s="4" t="n"/>
      <c r="B44" s="5" t="n"/>
      <c r="C44" s="5" t="n"/>
      <c r="D44" s="6" t="n"/>
      <c r="E44" s="7" t="n"/>
      <c r="F44" s="8">
        <f>IF(AND(D44&gt;0,E44&gt;0), D44/E44, "")</f>
        <v/>
      </c>
      <c r="G44" s="7" t="n"/>
      <c r="H44" s="9">
        <f>IF(AND(F44&gt;0,G44&gt;0), F44*G44, "")</f>
        <v/>
      </c>
      <c r="I44" s="9">
        <f>IF(C44="Redemption", D44, IF(OR(C44="SIP",C44="Lumpsum"), -D44, ""))</f>
        <v/>
      </c>
    </row>
    <row r="45">
      <c r="A45" s="4" t="n"/>
      <c r="B45" s="5" t="n"/>
      <c r="C45" s="5" t="n"/>
      <c r="D45" s="6" t="n"/>
      <c r="E45" s="7" t="n"/>
      <c r="F45" s="8">
        <f>IF(AND(D45&gt;0,E45&gt;0), D45/E45, "")</f>
        <v/>
      </c>
      <c r="G45" s="7" t="n"/>
      <c r="H45" s="9">
        <f>IF(AND(F45&gt;0,G45&gt;0), F45*G45, "")</f>
        <v/>
      </c>
      <c r="I45" s="9">
        <f>IF(C45="Redemption", D45, IF(OR(C45="SIP",C45="Lumpsum"), -D45, ""))</f>
        <v/>
      </c>
    </row>
    <row r="46">
      <c r="A46" s="4" t="n"/>
      <c r="B46" s="5" t="n"/>
      <c r="C46" s="5" t="n"/>
      <c r="D46" s="6" t="n"/>
      <c r="E46" s="7" t="n"/>
      <c r="F46" s="8">
        <f>IF(AND(D46&gt;0,E46&gt;0), D46/E46, "")</f>
        <v/>
      </c>
      <c r="G46" s="7" t="n"/>
      <c r="H46" s="9">
        <f>IF(AND(F46&gt;0,G46&gt;0), F46*G46, "")</f>
        <v/>
      </c>
      <c r="I46" s="9">
        <f>IF(C46="Redemption", D46, IF(OR(C46="SIP",C46="Lumpsum"), -D46, ""))</f>
        <v/>
      </c>
    </row>
    <row r="47">
      <c r="A47" s="4" t="n"/>
      <c r="B47" s="5" t="n"/>
      <c r="C47" s="5" t="n"/>
      <c r="D47" s="6" t="n"/>
      <c r="E47" s="7" t="n"/>
      <c r="F47" s="8">
        <f>IF(AND(D47&gt;0,E47&gt;0), D47/E47, "")</f>
        <v/>
      </c>
      <c r="G47" s="7" t="n"/>
      <c r="H47" s="9">
        <f>IF(AND(F47&gt;0,G47&gt;0), F47*G47, "")</f>
        <v/>
      </c>
      <c r="I47" s="9">
        <f>IF(C47="Redemption", D47, IF(OR(C47="SIP",C47="Lumpsum"), -D47, ""))</f>
        <v/>
      </c>
    </row>
    <row r="48">
      <c r="A48" s="4" t="n"/>
      <c r="B48" s="5" t="n"/>
      <c r="C48" s="5" t="n"/>
      <c r="D48" s="6" t="n"/>
      <c r="E48" s="7" t="n"/>
      <c r="F48" s="8">
        <f>IF(AND(D48&gt;0,E48&gt;0), D48/E48, "")</f>
        <v/>
      </c>
      <c r="G48" s="7" t="n"/>
      <c r="H48" s="9">
        <f>IF(AND(F48&gt;0,G48&gt;0), F48*G48, "")</f>
        <v/>
      </c>
      <c r="I48" s="9">
        <f>IF(C48="Redemption", D48, IF(OR(C48="SIP",C48="Lumpsum"), -D48, ""))</f>
        <v/>
      </c>
    </row>
    <row r="49">
      <c r="A49" s="4" t="n"/>
      <c r="B49" s="5" t="n"/>
      <c r="C49" s="5" t="n"/>
      <c r="D49" s="6" t="n"/>
      <c r="E49" s="7" t="n"/>
      <c r="F49" s="8">
        <f>IF(AND(D49&gt;0,E49&gt;0), D49/E49, "")</f>
        <v/>
      </c>
      <c r="G49" s="7" t="n"/>
      <c r="H49" s="9">
        <f>IF(AND(F49&gt;0,G49&gt;0), F49*G49, "")</f>
        <v/>
      </c>
      <c r="I49" s="9">
        <f>IF(C49="Redemption", D49, IF(OR(C49="SIP",C49="Lumpsum"), -D49, ""))</f>
        <v/>
      </c>
    </row>
    <row r="50">
      <c r="A50" s="4" t="n"/>
      <c r="B50" s="5" t="n"/>
      <c r="C50" s="5" t="n"/>
      <c r="D50" s="6" t="n"/>
      <c r="E50" s="7" t="n"/>
      <c r="F50" s="8">
        <f>IF(AND(D50&gt;0,E50&gt;0), D50/E50, "")</f>
        <v/>
      </c>
      <c r="G50" s="7" t="n"/>
      <c r="H50" s="9">
        <f>IF(AND(F50&gt;0,G50&gt;0), F50*G50, "")</f>
        <v/>
      </c>
      <c r="I50" s="9">
        <f>IF(C50="Redemption", D50, IF(OR(C50="SIP",C50="Lumpsum"), -D50, ""))</f>
        <v/>
      </c>
    </row>
    <row r="51">
      <c r="A51" s="4" t="n"/>
      <c r="B51" s="5" t="n"/>
      <c r="C51" s="5" t="n"/>
      <c r="D51" s="6" t="n"/>
      <c r="E51" s="7" t="n"/>
      <c r="F51" s="8">
        <f>IF(AND(D51&gt;0,E51&gt;0), D51/E51, "")</f>
        <v/>
      </c>
      <c r="G51" s="7" t="n"/>
      <c r="H51" s="9">
        <f>IF(AND(F51&gt;0,G51&gt;0), F51*G51, "")</f>
        <v/>
      </c>
      <c r="I51" s="9">
        <f>IF(C51="Redemption", D51, IF(OR(C51="SIP",C51="Lumpsum"), -D51, ""))</f>
        <v/>
      </c>
    </row>
    <row r="52">
      <c r="A52" s="4" t="n"/>
      <c r="B52" s="5" t="n"/>
      <c r="C52" s="5" t="n"/>
      <c r="D52" s="6" t="n"/>
      <c r="E52" s="7" t="n"/>
      <c r="F52" s="8">
        <f>IF(AND(D52&gt;0,E52&gt;0), D52/E52, "")</f>
        <v/>
      </c>
      <c r="G52" s="7" t="n"/>
      <c r="H52" s="9">
        <f>IF(AND(F52&gt;0,G52&gt;0), F52*G52, "")</f>
        <v/>
      </c>
      <c r="I52" s="9">
        <f>IF(C52="Redemption", D52, IF(OR(C52="SIP",C52="Lumpsum"), -D52, ""))</f>
        <v/>
      </c>
    </row>
    <row r="53">
      <c r="A53" s="4" t="n"/>
      <c r="B53" s="5" t="n"/>
      <c r="C53" s="5" t="n"/>
      <c r="D53" s="6" t="n"/>
      <c r="E53" s="7" t="n"/>
      <c r="F53" s="8">
        <f>IF(AND(D53&gt;0,E53&gt;0), D53/E53, "")</f>
        <v/>
      </c>
      <c r="G53" s="7" t="n"/>
      <c r="H53" s="9">
        <f>IF(AND(F53&gt;0,G53&gt;0), F53*G53, "")</f>
        <v/>
      </c>
      <c r="I53" s="9">
        <f>IF(C53="Redemption", D53, IF(OR(C53="SIP",C53="Lumpsum"), -D53, ""))</f>
        <v/>
      </c>
    </row>
    <row r="54">
      <c r="A54" s="4" t="n"/>
      <c r="B54" s="5" t="n"/>
      <c r="C54" s="5" t="n"/>
      <c r="D54" s="6" t="n"/>
      <c r="E54" s="7" t="n"/>
      <c r="F54" s="8">
        <f>IF(AND(D54&gt;0,E54&gt;0), D54/E54, "")</f>
        <v/>
      </c>
      <c r="G54" s="7" t="n"/>
      <c r="H54" s="9">
        <f>IF(AND(F54&gt;0,G54&gt;0), F54*G54, "")</f>
        <v/>
      </c>
      <c r="I54" s="9">
        <f>IF(C54="Redemption", D54, IF(OR(C54="SIP",C54="Lumpsum"), -D54, ""))</f>
        <v/>
      </c>
    </row>
    <row r="55">
      <c r="A55" s="4" t="n"/>
      <c r="B55" s="5" t="n"/>
      <c r="C55" s="5" t="n"/>
      <c r="D55" s="6" t="n"/>
      <c r="E55" s="7" t="n"/>
      <c r="F55" s="8">
        <f>IF(AND(D55&gt;0,E55&gt;0), D55/E55, "")</f>
        <v/>
      </c>
      <c r="G55" s="7" t="n"/>
      <c r="H55" s="9">
        <f>IF(AND(F55&gt;0,G55&gt;0), F55*G55, "")</f>
        <v/>
      </c>
      <c r="I55" s="9">
        <f>IF(C55="Redemption", D55, IF(OR(C55="SIP",C55="Lumpsum"), -D55, ""))</f>
        <v/>
      </c>
    </row>
    <row r="58">
      <c r="A58" s="10" t="inlineStr">
        <is>
          <t>Portfolio Summary</t>
        </is>
      </c>
    </row>
    <row r="59">
      <c r="A59" s="11" t="inlineStr">
        <is>
          <t>Total Invested (₹)</t>
        </is>
      </c>
      <c r="B59" s="12">
        <f>SUMIF(I6:I55, "&lt;0")*-1</f>
        <v/>
      </c>
    </row>
    <row r="60">
      <c r="A60" s="11" t="inlineStr">
        <is>
          <t>Current Value (₹)</t>
        </is>
      </c>
      <c r="B60" s="12">
        <f>SUM(H6:H55)</f>
        <v/>
      </c>
    </row>
    <row r="61">
      <c r="A61" s="11" t="inlineStr">
        <is>
          <t>Unrealised Gain/Loss (₹)</t>
        </is>
      </c>
      <c r="B61" s="12">
        <f>B60-B59</f>
        <v/>
      </c>
    </row>
    <row r="63">
      <c r="A63" s="11" t="inlineStr">
        <is>
          <t>Overall XIRR (based on Cash Flow column):</t>
        </is>
      </c>
    </row>
    <row r="64">
      <c r="B64" s="13">
        <f>IFERROR(XIRR(I6:I55,A6:A55),"")</f>
        <v/>
      </c>
    </row>
  </sheetData>
  <sheetProtection selectLockedCells="0" selectUnlockedCells="0" sheet="1" objects="0" insertRows="1" insertHyperlinks="1" autoFilter="1" scenarios="0" formatColumns="1" deleteColumns="1" insertColumns="1" pivotTables="1" deleteRows="1" formatCells="1" formatRows="1" sort="1"/>
  <mergeCells count="4">
    <mergeCell ref="A1:I1"/>
    <mergeCell ref="A3:I3"/>
    <mergeCell ref="A58:D58"/>
    <mergeCell ref="A63:C63"/>
  </mergeCells>
  <dataValidations count="1">
    <dataValidation sqref="C6 C7 C8 C9 C10 C11 C12 C13 C14 C15 C16 C17 C18 C19 C20 C21 C22 C23 C24 C25 C26 C27 C28 C29 C30 C31 C32 C33 C34 C35 C36 C37 C38 C39 C40 C41 C42 C43 C44 C45 C46 C47 C48 C49 C50 C51 C52 C53 C54 C55" showErrorMessage="1" showInputMessage="1" allowBlank="1" type="list">
      <formula1>"SIP,Lumpsum,Redemption"</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2025-12-09T04:45:39Z</dcterms:created>
  <dcterms:modified xmlns:dcterms="http://purl.org/dc/terms/" xmlns:xsi="http://www.w3.org/2001/XMLSchema-instance" xsi:type="dcterms:W3CDTF">2025-12-09T04:45:39Z</dcterms:modified>
</cp:coreProperties>
</file>