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enses"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b val="1"/>
      <color rgb="00FFFFFF"/>
      <sz val="16"/>
    </font>
    <font>
      <b val="1"/>
      <color rgb="004E5D6C"/>
      <sz val="10"/>
    </font>
    <font>
      <color rgb="004E5D6C"/>
      <sz val="10"/>
    </font>
    <font>
      <b val="1"/>
      <color rgb="001D3557"/>
      <sz val="11"/>
    </font>
    <font>
      <b val="1"/>
      <color rgb="001D3557"/>
      <sz val="12"/>
    </font>
  </fonts>
  <fills count="4">
    <fill>
      <patternFill/>
    </fill>
    <fill>
      <patternFill patternType="gray125"/>
    </fill>
    <fill>
      <patternFill patternType="solid">
        <fgColor rgb="001D3557"/>
      </patternFill>
    </fill>
    <fill>
      <patternFill patternType="solid">
        <fgColor rgb="00A9D6FB"/>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xf>
    <xf numFmtId="0" fontId="2" fillId="0" borderId="0" pivotButton="0" quotePrefix="0" xfId="0"/>
    <xf numFmtId="0" fontId="3" fillId="0" borderId="0" pivotButton="0" quotePrefix="0" xfId="0"/>
    <xf numFmtId="4" fontId="2" fillId="0" borderId="0" pivotButton="0" quotePrefix="0" xfId="0"/>
    <xf numFmtId="0" fontId="4" fillId="3" borderId="1" applyAlignment="1" pivotButton="0" quotePrefix="0" xfId="0">
      <alignment horizontal="center"/>
    </xf>
    <xf numFmtId="164" fontId="3" fillId="0" borderId="1" applyProtection="1" pivotButton="0" quotePrefix="0" xfId="0">
      <protection locked="0" hidden="0"/>
    </xf>
    <xf numFmtId="4" fontId="3" fillId="0" borderId="1" applyProtection="1" pivotButton="0" quotePrefix="0" xfId="0">
      <protection locked="0" hidden="0"/>
    </xf>
    <xf numFmtId="0" fontId="3" fillId="0" borderId="1" applyProtection="1" pivotButton="0" quotePrefix="0" xfId="0">
      <protection locked="0" hidden="0"/>
    </xf>
    <xf numFmtId="0" fontId="3" fillId="0" borderId="1" pivotButton="0" quotePrefix="0" xfId="0"/>
    <xf numFmtId="0" fontId="5" fillId="0" borderId="0" pivotButton="0" quotePrefix="0" xfId="0"/>
    <xf numFmtId="0" fontId="4" fillId="3" borderId="0" pivotButton="0" quotePrefix="0" xfId="0"/>
    <xf numFmtId="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12" customWidth="1" min="1" max="1"/>
    <col width="14" customWidth="1" min="2" max="2"/>
    <col width="18" customWidth="1" min="3" max="3"/>
    <col width="14" customWidth="1" min="4" max="4"/>
    <col width="30" customWidth="1" min="5" max="5"/>
    <col width="18" customWidth="1" min="6" max="6"/>
  </cols>
  <sheetData>
    <row r="1">
      <c r="A1" s="1" t="inlineStr">
        <is>
          <t>Daily Expense Tracker - Blue Steel</t>
        </is>
      </c>
    </row>
    <row r="3">
      <c r="A3" s="2" t="inlineStr">
        <is>
          <t>Today:</t>
        </is>
      </c>
      <c r="B3" s="3" t="inlineStr">
        <is>
          <t>2025-12-09</t>
        </is>
      </c>
    </row>
    <row r="4">
      <c r="A4" s="2" t="inlineStr">
        <is>
          <t>Total Spent Today (₹)</t>
        </is>
      </c>
      <c r="B4" s="4">
        <f>SUM(F9:F39)</f>
        <v/>
      </c>
    </row>
    <row r="5">
      <c r="A5" s="2" t="inlineStr">
        <is>
          <t>Total Spent This Month (₹)</t>
        </is>
      </c>
      <c r="B5" s="4">
        <f>SUMIFS(B9:B39,A9:A39,"&gt;="&amp;EOMONTH(TODAY(),-1)+1,A9:A39,"&lt;="&amp;EOMONTH(TODAY(),0))</f>
        <v/>
      </c>
    </row>
    <row r="8">
      <c r="A8" s="5" t="inlineStr">
        <is>
          <t>Date</t>
        </is>
      </c>
      <c r="B8" s="5" t="inlineStr">
        <is>
          <t>Amount (₹)</t>
        </is>
      </c>
      <c r="C8" s="5" t="inlineStr">
        <is>
          <t>Category</t>
        </is>
      </c>
      <c r="D8" s="5" t="inlineStr">
        <is>
          <t>Payment Mode</t>
        </is>
      </c>
      <c r="E8" s="5" t="inlineStr">
        <is>
          <t>Note</t>
        </is>
      </c>
      <c r="F8" s="5" t="inlineStr">
        <is>
          <t>Day Total Formula Helper</t>
        </is>
      </c>
    </row>
    <row r="9">
      <c r="A9" s="6" t="n"/>
      <c r="B9" s="7" t="n"/>
      <c r="C9" s="8" t="n"/>
      <c r="D9" s="8" t="n"/>
      <c r="E9" s="8" t="n"/>
      <c r="F9" s="9">
        <f>IF(A9=TODAY(), B9, 0)</f>
        <v/>
      </c>
    </row>
    <row r="10">
      <c r="A10" s="6" t="n"/>
      <c r="B10" s="7" t="n"/>
      <c r="C10" s="8" t="n"/>
      <c r="D10" s="8" t="n"/>
      <c r="E10" s="8" t="n"/>
      <c r="F10" s="9">
        <f>IF(A10=TODAY(), B10, 0)</f>
        <v/>
      </c>
    </row>
    <row r="11">
      <c r="A11" s="6" t="n"/>
      <c r="B11" s="7" t="n"/>
      <c r="C11" s="8" t="n"/>
      <c r="D11" s="8" t="n"/>
      <c r="E11" s="8" t="n"/>
      <c r="F11" s="9">
        <f>IF(A11=TODAY(), B11, 0)</f>
        <v/>
      </c>
    </row>
    <row r="12">
      <c r="A12" s="6" t="n"/>
      <c r="B12" s="7" t="n"/>
      <c r="C12" s="8" t="n"/>
      <c r="D12" s="8" t="n"/>
      <c r="E12" s="8" t="n"/>
      <c r="F12" s="9">
        <f>IF(A12=TODAY(), B12, 0)</f>
        <v/>
      </c>
    </row>
    <row r="13">
      <c r="A13" s="6" t="n"/>
      <c r="B13" s="7" t="n"/>
      <c r="C13" s="8" t="n"/>
      <c r="D13" s="8" t="n"/>
      <c r="E13" s="8" t="n"/>
      <c r="F13" s="9">
        <f>IF(A13=TODAY(), B13, 0)</f>
        <v/>
      </c>
    </row>
    <row r="14">
      <c r="A14" s="6" t="n"/>
      <c r="B14" s="7" t="n"/>
      <c r="C14" s="8" t="n"/>
      <c r="D14" s="8" t="n"/>
      <c r="E14" s="8" t="n"/>
      <c r="F14" s="9">
        <f>IF(A14=TODAY(), B14, 0)</f>
        <v/>
      </c>
    </row>
    <row r="15">
      <c r="A15" s="6" t="n"/>
      <c r="B15" s="7" t="n"/>
      <c r="C15" s="8" t="n"/>
      <c r="D15" s="8" t="n"/>
      <c r="E15" s="8" t="n"/>
      <c r="F15" s="9">
        <f>IF(A15=TODAY(), B15, 0)</f>
        <v/>
      </c>
    </row>
    <row r="16">
      <c r="A16" s="6" t="n"/>
      <c r="B16" s="7" t="n"/>
      <c r="C16" s="8" t="n"/>
      <c r="D16" s="8" t="n"/>
      <c r="E16" s="8" t="n"/>
      <c r="F16" s="9">
        <f>IF(A16=TODAY(), B16, 0)</f>
        <v/>
      </c>
    </row>
    <row r="17">
      <c r="A17" s="6" t="n"/>
      <c r="B17" s="7" t="n"/>
      <c r="C17" s="8" t="n"/>
      <c r="D17" s="8" t="n"/>
      <c r="E17" s="8" t="n"/>
      <c r="F17" s="9">
        <f>IF(A17=TODAY(), B17, 0)</f>
        <v/>
      </c>
    </row>
    <row r="18">
      <c r="A18" s="6" t="n"/>
      <c r="B18" s="7" t="n"/>
      <c r="C18" s="8" t="n"/>
      <c r="D18" s="8" t="n"/>
      <c r="E18" s="8" t="n"/>
      <c r="F18" s="9">
        <f>IF(A18=TODAY(), B18, 0)</f>
        <v/>
      </c>
    </row>
    <row r="19">
      <c r="A19" s="6" t="n"/>
      <c r="B19" s="7" t="n"/>
      <c r="C19" s="8" t="n"/>
      <c r="D19" s="8" t="n"/>
      <c r="E19" s="8" t="n"/>
      <c r="F19" s="9">
        <f>IF(A19=TODAY(), B19, 0)</f>
        <v/>
      </c>
    </row>
    <row r="20">
      <c r="A20" s="6" t="n"/>
      <c r="B20" s="7" t="n"/>
      <c r="C20" s="8" t="n"/>
      <c r="D20" s="8" t="n"/>
      <c r="E20" s="8" t="n"/>
      <c r="F20" s="9">
        <f>IF(A20=TODAY(), B20, 0)</f>
        <v/>
      </c>
    </row>
    <row r="21">
      <c r="A21" s="6" t="n"/>
      <c r="B21" s="7" t="n"/>
      <c r="C21" s="8" t="n"/>
      <c r="D21" s="8" t="n"/>
      <c r="E21" s="8" t="n"/>
      <c r="F21" s="9">
        <f>IF(A21=TODAY(), B21, 0)</f>
        <v/>
      </c>
    </row>
    <row r="22">
      <c r="A22" s="6" t="n"/>
      <c r="B22" s="7" t="n"/>
      <c r="C22" s="8" t="n"/>
      <c r="D22" s="8" t="n"/>
      <c r="E22" s="8" t="n"/>
      <c r="F22" s="9">
        <f>IF(A22=TODAY(), B22, 0)</f>
        <v/>
      </c>
    </row>
    <row r="23">
      <c r="A23" s="6" t="n"/>
      <c r="B23" s="7" t="n"/>
      <c r="C23" s="8" t="n"/>
      <c r="D23" s="8" t="n"/>
      <c r="E23" s="8" t="n"/>
      <c r="F23" s="9">
        <f>IF(A23=TODAY(), B23, 0)</f>
        <v/>
      </c>
    </row>
    <row r="24">
      <c r="A24" s="6" t="n"/>
      <c r="B24" s="7" t="n"/>
      <c r="C24" s="8" t="n"/>
      <c r="D24" s="8" t="n"/>
      <c r="E24" s="8" t="n"/>
      <c r="F24" s="9">
        <f>IF(A24=TODAY(), B24, 0)</f>
        <v/>
      </c>
    </row>
    <row r="25">
      <c r="A25" s="6" t="n"/>
      <c r="B25" s="7" t="n"/>
      <c r="C25" s="8" t="n"/>
      <c r="D25" s="8" t="n"/>
      <c r="E25" s="8" t="n"/>
      <c r="F25" s="9">
        <f>IF(A25=TODAY(), B25, 0)</f>
        <v/>
      </c>
    </row>
    <row r="26">
      <c r="A26" s="6" t="n"/>
      <c r="B26" s="7" t="n"/>
      <c r="C26" s="8" t="n"/>
      <c r="D26" s="8" t="n"/>
      <c r="E26" s="8" t="n"/>
      <c r="F26" s="9">
        <f>IF(A26=TODAY(), B26, 0)</f>
        <v/>
      </c>
    </row>
    <row r="27">
      <c r="A27" s="6" t="n"/>
      <c r="B27" s="7" t="n"/>
      <c r="C27" s="8" t="n"/>
      <c r="D27" s="8" t="n"/>
      <c r="E27" s="8" t="n"/>
      <c r="F27" s="9">
        <f>IF(A27=TODAY(), B27, 0)</f>
        <v/>
      </c>
    </row>
    <row r="28">
      <c r="A28" s="6" t="n"/>
      <c r="B28" s="7" t="n"/>
      <c r="C28" s="8" t="n"/>
      <c r="D28" s="8" t="n"/>
      <c r="E28" s="8" t="n"/>
      <c r="F28" s="9">
        <f>IF(A28=TODAY(), B28, 0)</f>
        <v/>
      </c>
    </row>
    <row r="29">
      <c r="A29" s="6" t="n"/>
      <c r="B29" s="7" t="n"/>
      <c r="C29" s="8" t="n"/>
      <c r="D29" s="8" t="n"/>
      <c r="E29" s="8" t="n"/>
      <c r="F29" s="9">
        <f>IF(A29=TODAY(), B29, 0)</f>
        <v/>
      </c>
    </row>
    <row r="30">
      <c r="A30" s="6" t="n"/>
      <c r="B30" s="7" t="n"/>
      <c r="C30" s="8" t="n"/>
      <c r="D30" s="8" t="n"/>
      <c r="E30" s="8" t="n"/>
      <c r="F30" s="9">
        <f>IF(A30=TODAY(), B30, 0)</f>
        <v/>
      </c>
    </row>
    <row r="31">
      <c r="A31" s="6" t="n"/>
      <c r="B31" s="7" t="n"/>
      <c r="C31" s="8" t="n"/>
      <c r="D31" s="8" t="n"/>
      <c r="E31" s="8" t="n"/>
      <c r="F31" s="9">
        <f>IF(A31=TODAY(), B31, 0)</f>
        <v/>
      </c>
    </row>
    <row r="32">
      <c r="A32" s="6" t="n"/>
      <c r="B32" s="7" t="n"/>
      <c r="C32" s="8" t="n"/>
      <c r="D32" s="8" t="n"/>
      <c r="E32" s="8" t="n"/>
      <c r="F32" s="9">
        <f>IF(A32=TODAY(), B32, 0)</f>
        <v/>
      </c>
    </row>
    <row r="33">
      <c r="A33" s="6" t="n"/>
      <c r="B33" s="7" t="n"/>
      <c r="C33" s="8" t="n"/>
      <c r="D33" s="8" t="n"/>
      <c r="E33" s="8" t="n"/>
      <c r="F33" s="9">
        <f>IF(A33=TODAY(), B33, 0)</f>
        <v/>
      </c>
    </row>
    <row r="34">
      <c r="A34" s="6" t="n"/>
      <c r="B34" s="7" t="n"/>
      <c r="C34" s="8" t="n"/>
      <c r="D34" s="8" t="n"/>
      <c r="E34" s="8" t="n"/>
      <c r="F34" s="9">
        <f>IF(A34=TODAY(), B34, 0)</f>
        <v/>
      </c>
    </row>
    <row r="35">
      <c r="A35" s="6" t="n"/>
      <c r="B35" s="7" t="n"/>
      <c r="C35" s="8" t="n"/>
      <c r="D35" s="8" t="n"/>
      <c r="E35" s="8" t="n"/>
      <c r="F35" s="9">
        <f>IF(A35=TODAY(), B35, 0)</f>
        <v/>
      </c>
    </row>
    <row r="36">
      <c r="A36" s="6" t="n"/>
      <c r="B36" s="7" t="n"/>
      <c r="C36" s="8" t="n"/>
      <c r="D36" s="8" t="n"/>
      <c r="E36" s="8" t="n"/>
      <c r="F36" s="9">
        <f>IF(A36=TODAY(), B36, 0)</f>
        <v/>
      </c>
    </row>
    <row r="37">
      <c r="A37" s="6" t="n"/>
      <c r="B37" s="7" t="n"/>
      <c r="C37" s="8" t="n"/>
      <c r="D37" s="8" t="n"/>
      <c r="E37" s="8" t="n"/>
      <c r="F37" s="9">
        <f>IF(A37=TODAY(), B37, 0)</f>
        <v/>
      </c>
    </row>
    <row r="38">
      <c r="A38" s="6" t="n"/>
      <c r="B38" s="7" t="n"/>
      <c r="C38" s="8" t="n"/>
      <c r="D38" s="8" t="n"/>
      <c r="E38" s="8" t="n"/>
      <c r="F38" s="9">
        <f>IF(A38=TODAY(), B38, 0)</f>
        <v/>
      </c>
    </row>
    <row r="39">
      <c r="A39" s="6" t="n"/>
      <c r="B39" s="7" t="n"/>
      <c r="C39" s="8" t="n"/>
      <c r="D39" s="8" t="n"/>
      <c r="E39" s="8" t="n"/>
      <c r="F39" s="9">
        <f>IF(A39=TODAY(), B39, 0)</f>
        <v/>
      </c>
    </row>
    <row r="42">
      <c r="A42" s="10" t="inlineStr">
        <is>
          <t>Category Summary (This Month)</t>
        </is>
      </c>
    </row>
    <row r="43">
      <c r="A43" s="11" t="inlineStr">
        <is>
          <t>Category</t>
        </is>
      </c>
      <c r="B43" s="11" t="inlineStr">
        <is>
          <t>Total (₹)</t>
        </is>
      </c>
    </row>
    <row r="44">
      <c r="A44" s="3" t="inlineStr">
        <is>
          <t>Food</t>
        </is>
      </c>
      <c r="B44" s="12">
        <f>SUMIFS(B9:B39,C9:C39,"Food",A9:A39,"&gt;="&amp;EOMONTH(TODAY(),-1)+1,A9:A39,"&lt;="&amp;EOMONTH(TODAY(),0))</f>
        <v/>
      </c>
    </row>
    <row r="45">
      <c r="A45" s="3" t="inlineStr">
        <is>
          <t>Travel</t>
        </is>
      </c>
      <c r="B45" s="12">
        <f>SUMIFS(B9:B39,C9:C39,"Travel",A9:A39,"&gt;="&amp;EOMONTH(TODAY(),-1)+1,A9:A39,"&lt;="&amp;EOMONTH(TODAY(),0))</f>
        <v/>
      </c>
    </row>
    <row r="46">
      <c r="A46" s="3" t="inlineStr">
        <is>
          <t>Rent/Hostel</t>
        </is>
      </c>
      <c r="B46" s="12">
        <f>SUMIFS(B9:B39,C9:C39,"Rent/Hostel",A9:A39,"&gt;="&amp;EOMONTH(TODAY(),-1)+1,A9:A39,"&lt;="&amp;EOMONTH(TODAY(),0))</f>
        <v/>
      </c>
    </row>
    <row r="47">
      <c r="A47" s="3" t="inlineStr">
        <is>
          <t>Mobile/Data</t>
        </is>
      </c>
      <c r="B47" s="12">
        <f>SUMIFS(B9:B39,C9:C39,"Mobile/Data",A9:A39,"&gt;="&amp;EOMONTH(TODAY(),-1)+1,A9:A39,"&lt;="&amp;EOMONTH(TODAY(),0))</f>
        <v/>
      </c>
    </row>
    <row r="48">
      <c r="A48" s="3" t="inlineStr">
        <is>
          <t>Shopping</t>
        </is>
      </c>
      <c r="B48" s="12">
        <f>SUMIFS(B9:B39,C9:C39,"Shopping",A9:A39,"&gt;="&amp;EOMONTH(TODAY(),-1)+1,A9:A39,"&lt;="&amp;EOMONTH(TODAY(),0))</f>
        <v/>
      </c>
    </row>
    <row r="49">
      <c r="A49" s="3" t="inlineStr">
        <is>
          <t>Subscriptions</t>
        </is>
      </c>
      <c r="B49" s="12">
        <f>SUMIFS(B9:B39,C9:C39,"Subscriptions",A9:A39,"&gt;="&amp;EOMONTH(TODAY(),-1)+1,A9:A39,"&lt;="&amp;EOMONTH(TODAY(),0))</f>
        <v/>
      </c>
    </row>
    <row r="50">
      <c r="A50" s="3" t="inlineStr">
        <is>
          <t>Medical</t>
        </is>
      </c>
      <c r="B50" s="12">
        <f>SUMIFS(B9:B39,C9:C39,"Medical",A9:A39,"&gt;="&amp;EOMONTH(TODAY(),-1)+1,A9:A39,"&lt;="&amp;EOMONTH(TODAY(),0))</f>
        <v/>
      </c>
    </row>
    <row r="51">
      <c r="A51" s="3" t="inlineStr">
        <is>
          <t>Miscellaneous</t>
        </is>
      </c>
      <c r="B51" s="12">
        <f>SUMIFS(B9:B39,C9:C39,"Miscellaneous",A9:A39,"&gt;="&amp;EOMONTH(TODAY(),-1)+1,A9:A39,"&lt;="&amp;EOMONTH(TODAY(),0))</f>
        <v/>
      </c>
    </row>
  </sheetData>
  <sheetProtection selectLockedCells="0" selectUnlockedCells="0" sheet="1" objects="0" insertRows="1" insertHyperlinks="1" autoFilter="1" scenarios="0" formatColumns="1" deleteColumns="1" insertColumns="1" pivotTables="1" deleteRows="1" formatCells="1" formatRows="1" sort="1"/>
  <mergeCells count="1">
    <mergeCell ref="A1:F1"/>
  </mergeCells>
  <dataValidations count="2">
    <dataValidation sqref="C9 C10 C11 C12 C13 C14 C15 C16 C17 C18 C19 C20 C21 C22 C23 C24 C25 C26 C27 C28 C29 C30 C31 C32 C33 C34 C35 C36 C37 C38 C39" showErrorMessage="1" showInputMessage="1" allowBlank="1" type="list">
      <formula1>"Food,Travel,Rent/Hostel,Mobile/Data,Shopping,Subscriptions,Medical,Miscellaneous"</formula1>
    </dataValidation>
    <dataValidation sqref="D9 D10 D11 D12 D13 D14 D15 D16 D17 D18 D19 D20 D21 D22 D23 D24 D25 D26 D27 D28 D29 D30 D31 D32 D33 D34 D35 D36 D37 D38 D39" showErrorMessage="1" showInputMessage="1" allowBlank="1" type="list">
      <formula1>"Cash,UPI,Card,NetBanking,Other"</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2025-12-09T04:45:39Z</dcterms:created>
  <dcterms:modified xmlns:dcterms="http://purl.org/dc/terms/" xmlns:xsi="http://www.w3.org/2001/XMLSchema-instance" xsi:type="dcterms:W3CDTF">2025-12-09T04:45:39Z</dcterms:modified>
</cp:coreProperties>
</file>