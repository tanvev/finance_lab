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"/>
    <numFmt numFmtId="165" formatCode="#,#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D3557"/>
      <sz val="11"/>
    </font>
    <font>
      <b val="1"/>
      <color rgb="004E5D6C"/>
      <sz val="10"/>
    </font>
    <font>
      <color rgb="004E5D6C"/>
      <sz val="10"/>
    </font>
    <font>
      <b val="1"/>
      <color rgb="001D3557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" fontId="4" fillId="0" borderId="0" applyProtection="1" pivotButton="0" quotePrefix="0" xfId="0">
      <protection locked="0" hidden="0"/>
    </xf>
    <xf numFmtId="165" fontId="3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4" customWidth="1" min="5" max="5"/>
    <col width="4" customWidth="1" min="6" max="6"/>
  </cols>
  <sheetData>
    <row r="1">
      <c r="A1" s="1" t="inlineStr">
        <is>
          <t>Loan Comparison Sheet (3 Loans) - Blue Steel</t>
        </is>
      </c>
    </row>
    <row r="3">
      <c r="A3" t="inlineStr"/>
      <c r="B3" s="2" t="inlineStr">
        <is>
          <t>Loan A</t>
        </is>
      </c>
      <c r="C3" s="2" t="inlineStr">
        <is>
          <t>Loan B</t>
        </is>
      </c>
      <c r="D3" s="2" t="inlineStr">
        <is>
          <t>Loan C</t>
        </is>
      </c>
    </row>
    <row r="4">
      <c r="A4" s="3" t="inlineStr">
        <is>
          <t>Loan Amount (₹)</t>
        </is>
      </c>
      <c r="B4" s="4" t="n">
        <v>400000</v>
      </c>
      <c r="C4" s="4" t="n">
        <v>400000</v>
      </c>
      <c r="D4" s="4" t="n">
        <v>400000</v>
      </c>
    </row>
    <row r="5">
      <c r="A5" s="3" t="inlineStr">
        <is>
          <t>Interest Rate % p.a.</t>
        </is>
      </c>
      <c r="B5" s="5" t="n">
        <v>10.5</v>
      </c>
      <c r="C5" s="5" t="n">
        <v>11</v>
      </c>
      <c r="D5" s="5" t="n">
        <v>10</v>
      </c>
    </row>
    <row r="6">
      <c r="A6" s="3" t="inlineStr">
        <is>
          <t>Tenure (months)</t>
        </is>
      </c>
      <c r="B6" s="6" t="n">
        <v>60</v>
      </c>
      <c r="C6" s="6" t="n">
        <v>60</v>
      </c>
      <c r="D6" s="6" t="n">
        <v>60</v>
      </c>
    </row>
    <row r="7">
      <c r="A7" s="3" t="inlineStr">
        <is>
          <t>Processing Fee (₹)</t>
        </is>
      </c>
      <c r="B7" s="4" t="n">
        <v>3000</v>
      </c>
      <c r="C7" s="4" t="n">
        <v>0</v>
      </c>
      <c r="D7" s="4" t="n">
        <v>5000</v>
      </c>
    </row>
    <row r="8">
      <c r="A8" s="3" t="inlineStr">
        <is>
          <t>EMI (₹)</t>
        </is>
      </c>
      <c r="B8" s="7">
        <f>-PMT(B5/1200,B6,B4)</f>
        <v/>
      </c>
      <c r="C8" s="7">
        <f>-PMT(C5/1200,C6,C4)</f>
        <v/>
      </c>
      <c r="D8" s="7">
        <f>-PMT(D5/1200,D6,D4)</f>
        <v/>
      </c>
    </row>
    <row r="9">
      <c r="A9" s="3" t="inlineStr">
        <is>
          <t>Total Interest (₹)</t>
        </is>
      </c>
      <c r="B9" s="8">
        <f>B8*B6-B4</f>
        <v/>
      </c>
      <c r="C9" s="8">
        <f>C8*C6-C4</f>
        <v/>
      </c>
      <c r="D9" s="8">
        <f>D8*D6-D4</f>
        <v/>
      </c>
    </row>
    <row r="10">
      <c r="A10" s="3" t="inlineStr">
        <is>
          <t>Total Cost (₹)</t>
        </is>
      </c>
      <c r="B10" s="7">
        <f>B4+B7+B9</f>
        <v/>
      </c>
      <c r="C10" s="7">
        <f>C4+C7+C9</f>
        <v/>
      </c>
      <c r="D10" s="7">
        <f>D4+D7+D9</f>
        <v/>
      </c>
    </row>
    <row r="12">
      <c r="A12" s="3" t="inlineStr">
        <is>
          <t>Best Option (Lowest Total Cost):</t>
        </is>
      </c>
      <c r="C12" s="9">
        <f>CHOOSE(MATCH(MIN(B10:D10),B10:D10,0),"Loan A","Loan B","Loan C")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F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2025-12-09T04:45:39Z</dcterms:created>
  <dcterms:modified xmlns:dcterms="http://purl.org/dc/terms/" xmlns:xsi="http://www.w3.org/2001/XMLSchema-instance" xsi:type="dcterms:W3CDTF">2025-12-09T04:45:39Z</dcterms:modified>
</cp:coreProperties>
</file>