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,##0.00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D3557"/>
      <sz val="12"/>
    </font>
    <font>
      <b val="1"/>
      <color rgb="001D3557"/>
      <sz val="11"/>
    </font>
    <font>
      <color rgb="004E5D6C"/>
      <sz val="10"/>
    </font>
    <font>
      <b val="1"/>
      <color rgb="004E5D6C"/>
      <sz val="10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A9D6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2" fontId="4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164" fontId="5" fillId="0" borderId="0" pivotButton="0" quotePrefix="0" xfId="0"/>
    <xf numFmtId="0" fontId="4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2" fontId="4" fillId="0" borderId="0" applyProtection="1" pivotButton="0" quotePrefix="0" xfId="0">
      <protection locked="0" hidden="0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4" customWidth="1" min="4" max="4"/>
    <col width="16" customWidth="1" min="5" max="5"/>
    <col width="16" customWidth="1" min="6" max="6"/>
    <col width="18" customWidth="1" min="7" max="7"/>
    <col width="20" customWidth="1" min="8" max="8"/>
  </cols>
  <sheetData>
    <row r="1">
      <c r="A1" s="1" t="inlineStr">
        <is>
          <t>Debt Overview &amp; Payoff Planner - Blue Steel</t>
        </is>
      </c>
    </row>
    <row r="3">
      <c r="A3" s="2" t="inlineStr">
        <is>
          <t>All Debts (Summary)</t>
        </is>
      </c>
    </row>
    <row r="5">
      <c r="A5" s="3" t="inlineStr">
        <is>
          <t>Debt Name</t>
        </is>
      </c>
      <c r="B5" s="3" t="inlineStr">
        <is>
          <t>Type</t>
        </is>
      </c>
      <c r="C5" s="3" t="inlineStr">
        <is>
          <t>Outstanding (₹)</t>
        </is>
      </c>
      <c r="D5" s="3" t="inlineStr">
        <is>
          <t>Interest % p.a.</t>
        </is>
      </c>
      <c r="E5" s="3" t="inlineStr">
        <is>
          <t>EMI (₹)</t>
        </is>
      </c>
      <c r="F5" s="3" t="inlineStr">
        <is>
          <t>Next Due Date</t>
        </is>
      </c>
      <c r="G5" s="3" t="inlineStr">
        <is>
          <t>Lender/Bank</t>
        </is>
      </c>
      <c r="H5" s="3" t="inlineStr">
        <is>
          <t>Notes</t>
        </is>
      </c>
    </row>
    <row r="6">
      <c r="A6" s="4" t="n"/>
      <c r="B6" s="4" t="n"/>
      <c r="C6" s="5" t="n"/>
      <c r="D6" s="6" t="n"/>
      <c r="E6" s="5" t="n"/>
      <c r="F6" s="7" t="n"/>
      <c r="G6" s="4" t="n"/>
      <c r="H6" s="4" t="n"/>
    </row>
    <row r="7">
      <c r="A7" s="4" t="n"/>
      <c r="B7" s="4" t="n"/>
      <c r="C7" s="5" t="n"/>
      <c r="D7" s="6" t="n"/>
      <c r="E7" s="5" t="n"/>
      <c r="F7" s="7" t="n"/>
      <c r="G7" s="4" t="n"/>
      <c r="H7" s="4" t="n"/>
    </row>
    <row r="8">
      <c r="A8" s="4" t="n"/>
      <c r="B8" s="4" t="n"/>
      <c r="C8" s="5" t="n"/>
      <c r="D8" s="6" t="n"/>
      <c r="E8" s="5" t="n"/>
      <c r="F8" s="7" t="n"/>
      <c r="G8" s="4" t="n"/>
      <c r="H8" s="4" t="n"/>
    </row>
    <row r="9">
      <c r="A9" s="4" t="n"/>
      <c r="B9" s="4" t="n"/>
      <c r="C9" s="5" t="n"/>
      <c r="D9" s="6" t="n"/>
      <c r="E9" s="5" t="n"/>
      <c r="F9" s="7" t="n"/>
      <c r="G9" s="4" t="n"/>
      <c r="H9" s="4" t="n"/>
    </row>
    <row r="10">
      <c r="A10" s="4" t="n"/>
      <c r="B10" s="4" t="n"/>
      <c r="C10" s="5" t="n"/>
      <c r="D10" s="6" t="n"/>
      <c r="E10" s="5" t="n"/>
      <c r="F10" s="7" t="n"/>
      <c r="G10" s="4" t="n"/>
      <c r="H10" s="4" t="n"/>
    </row>
    <row r="12">
      <c r="A12" s="8" t="inlineStr">
        <is>
          <t>Total Monthly EMI (₹)</t>
        </is>
      </c>
      <c r="C12" s="9">
        <f>SUM(E6:E10)</f>
        <v/>
      </c>
    </row>
    <row r="15">
      <c r="A15" s="2" t="inlineStr">
        <is>
          <t>Payoff Planner for Selected Debt</t>
        </is>
      </c>
    </row>
    <row r="16">
      <c r="A16" s="8" t="inlineStr">
        <is>
          <t>Selected Debt Name:</t>
        </is>
      </c>
      <c r="B16" s="10" t="n"/>
    </row>
    <row r="17">
      <c r="A17" s="8" t="inlineStr">
        <is>
          <t>Principal (₹)</t>
        </is>
      </c>
      <c r="B17" s="11" t="n"/>
    </row>
    <row r="18">
      <c r="A18" s="8" t="inlineStr">
        <is>
          <t>Interest % p.a.</t>
        </is>
      </c>
      <c r="B18" s="12" t="n"/>
    </row>
    <row r="19">
      <c r="A19" s="8" t="inlineStr">
        <is>
          <t>EMI (₹)</t>
        </is>
      </c>
      <c r="B19" s="11" t="n"/>
    </row>
    <row r="20">
      <c r="A20" s="8" t="inlineStr">
        <is>
          <t>Extra Payment per Month (₹)</t>
        </is>
      </c>
      <c r="B20" s="11" t="n"/>
    </row>
    <row r="22">
      <c r="A22" s="3" t="inlineStr">
        <is>
          <t>Month #</t>
        </is>
      </c>
      <c r="B22" s="3" t="inlineStr">
        <is>
          <t>Payment Date</t>
        </is>
      </c>
      <c r="C22" s="3" t="inlineStr">
        <is>
          <t>Opening Balance (₹)</t>
        </is>
      </c>
      <c r="D22" s="3" t="inlineStr">
        <is>
          <t>EMI (₹)</t>
        </is>
      </c>
      <c r="E22" s="3" t="inlineStr">
        <is>
          <t>Extra Payment (₹)</t>
        </is>
      </c>
      <c r="F22" s="3" t="inlineStr">
        <is>
          <t>Total Payment (₹)</t>
        </is>
      </c>
      <c r="G22" s="3" t="inlineStr">
        <is>
          <t>Interest (₹)</t>
        </is>
      </c>
      <c r="H22" s="3" t="inlineStr">
        <is>
          <t>Principal (₹)</t>
        </is>
      </c>
      <c r="I22" s="3" t="inlineStr">
        <is>
          <t>Closing Balance (₹)</t>
        </is>
      </c>
    </row>
    <row r="23">
      <c r="A23" t="n">
        <v>1</v>
      </c>
      <c r="B23">
        <f>EOMONTH(TODAY(),0)</f>
        <v/>
      </c>
      <c r="C23">
        <f>B17</f>
        <v/>
      </c>
      <c r="D23">
        <f>B19</f>
        <v/>
      </c>
      <c r="E23">
        <f>B20</f>
        <v/>
      </c>
      <c r="F23">
        <f>D23+E23</f>
        <v/>
      </c>
      <c r="G23">
        <f>C23*(B18/100/12)</f>
        <v/>
      </c>
      <c r="H23">
        <f>F23-G23</f>
        <v/>
      </c>
      <c r="I23">
        <f>MAX(0,C23-H23)</f>
        <v/>
      </c>
    </row>
    <row r="24">
      <c r="A24" s="4">
        <f>A23+1</f>
        <v/>
      </c>
      <c r="B24" s="7">
        <f>EDATE(B23,1)</f>
        <v/>
      </c>
      <c r="C24" s="5">
        <f>I23</f>
        <v/>
      </c>
      <c r="D24" s="5">
        <f>B19</f>
        <v/>
      </c>
      <c r="E24" s="5">
        <f>B20</f>
        <v/>
      </c>
      <c r="F24" s="5">
        <f>IF(C24&gt;0,D24+E24,0)</f>
        <v/>
      </c>
      <c r="G24" s="5">
        <f>IF(C24&gt;0, C24*(B18/100/12),0)</f>
        <v/>
      </c>
      <c r="H24" s="5">
        <f>IF(C24&gt;0, F24-G24,0)</f>
        <v/>
      </c>
      <c r="I24" s="5">
        <f>MAX(0,C24-H24)</f>
        <v/>
      </c>
    </row>
    <row r="25">
      <c r="A25" s="4">
        <f>A24+1</f>
        <v/>
      </c>
      <c r="B25" s="7">
        <f>EDATE(B24,1)</f>
        <v/>
      </c>
      <c r="C25" s="5">
        <f>I24</f>
        <v/>
      </c>
      <c r="D25" s="5">
        <f>B19</f>
        <v/>
      </c>
      <c r="E25" s="5">
        <f>B20</f>
        <v/>
      </c>
      <c r="F25" s="5">
        <f>IF(C25&gt;0,D25+E25,0)</f>
        <v/>
      </c>
      <c r="G25" s="5">
        <f>IF(C25&gt;0, C25*(B18/100/12),0)</f>
        <v/>
      </c>
      <c r="H25" s="5">
        <f>IF(C25&gt;0, F25-G25,0)</f>
        <v/>
      </c>
      <c r="I25" s="5">
        <f>MAX(0,C25-H25)</f>
        <v/>
      </c>
    </row>
    <row r="26">
      <c r="A26" s="4">
        <f>A25+1</f>
        <v/>
      </c>
      <c r="B26" s="7">
        <f>EDATE(B25,1)</f>
        <v/>
      </c>
      <c r="C26" s="5">
        <f>I25</f>
        <v/>
      </c>
      <c r="D26" s="5">
        <f>B19</f>
        <v/>
      </c>
      <c r="E26" s="5">
        <f>B20</f>
        <v/>
      </c>
      <c r="F26" s="5">
        <f>IF(C26&gt;0,D26+E26,0)</f>
        <v/>
      </c>
      <c r="G26" s="5">
        <f>IF(C26&gt;0, C26*(B18/100/12),0)</f>
        <v/>
      </c>
      <c r="H26" s="5">
        <f>IF(C26&gt;0, F26-G26,0)</f>
        <v/>
      </c>
      <c r="I26" s="5">
        <f>MAX(0,C26-H26)</f>
        <v/>
      </c>
    </row>
    <row r="27">
      <c r="A27" s="4">
        <f>A26+1</f>
        <v/>
      </c>
      <c r="B27" s="7">
        <f>EDATE(B26,1)</f>
        <v/>
      </c>
      <c r="C27" s="5">
        <f>I26</f>
        <v/>
      </c>
      <c r="D27" s="5">
        <f>B19</f>
        <v/>
      </c>
      <c r="E27" s="5">
        <f>B20</f>
        <v/>
      </c>
      <c r="F27" s="5">
        <f>IF(C27&gt;0,D27+E27,0)</f>
        <v/>
      </c>
      <c r="G27" s="5">
        <f>IF(C27&gt;0, C27*(B18/100/12),0)</f>
        <v/>
      </c>
      <c r="H27" s="5">
        <f>IF(C27&gt;0, F27-G27,0)</f>
        <v/>
      </c>
      <c r="I27" s="5">
        <f>MAX(0,C27-H27)</f>
        <v/>
      </c>
    </row>
    <row r="28">
      <c r="A28" s="4">
        <f>A27+1</f>
        <v/>
      </c>
      <c r="B28" s="7">
        <f>EDATE(B27,1)</f>
        <v/>
      </c>
      <c r="C28" s="5">
        <f>I27</f>
        <v/>
      </c>
      <c r="D28" s="5">
        <f>B19</f>
        <v/>
      </c>
      <c r="E28" s="5">
        <f>B20</f>
        <v/>
      </c>
      <c r="F28" s="5">
        <f>IF(C28&gt;0,D28+E28,0)</f>
        <v/>
      </c>
      <c r="G28" s="5">
        <f>IF(C28&gt;0, C28*(B18/100/12),0)</f>
        <v/>
      </c>
      <c r="H28" s="5">
        <f>IF(C28&gt;0, F28-G28,0)</f>
        <v/>
      </c>
      <c r="I28" s="5">
        <f>MAX(0,C28-H28)</f>
        <v/>
      </c>
    </row>
    <row r="29">
      <c r="A29" s="4">
        <f>A28+1</f>
        <v/>
      </c>
      <c r="B29" s="7">
        <f>EDATE(B28,1)</f>
        <v/>
      </c>
      <c r="C29" s="5">
        <f>I28</f>
        <v/>
      </c>
      <c r="D29" s="5">
        <f>B19</f>
        <v/>
      </c>
      <c r="E29" s="5">
        <f>B20</f>
        <v/>
      </c>
      <c r="F29" s="5">
        <f>IF(C29&gt;0,D29+E29,0)</f>
        <v/>
      </c>
      <c r="G29" s="5">
        <f>IF(C29&gt;0, C29*(B18/100/12),0)</f>
        <v/>
      </c>
      <c r="H29" s="5">
        <f>IF(C29&gt;0, F29-G29,0)</f>
        <v/>
      </c>
      <c r="I29" s="5">
        <f>MAX(0,C29-H29)</f>
        <v/>
      </c>
    </row>
    <row r="30">
      <c r="A30" s="4">
        <f>A29+1</f>
        <v/>
      </c>
      <c r="B30" s="7">
        <f>EDATE(B29,1)</f>
        <v/>
      </c>
      <c r="C30" s="5">
        <f>I29</f>
        <v/>
      </c>
      <c r="D30" s="5">
        <f>B19</f>
        <v/>
      </c>
      <c r="E30" s="5">
        <f>B20</f>
        <v/>
      </c>
      <c r="F30" s="5">
        <f>IF(C30&gt;0,D30+E30,0)</f>
        <v/>
      </c>
      <c r="G30" s="5">
        <f>IF(C30&gt;0, C30*(B18/100/12),0)</f>
        <v/>
      </c>
      <c r="H30" s="5">
        <f>IF(C30&gt;0, F30-G30,0)</f>
        <v/>
      </c>
      <c r="I30" s="5">
        <f>MAX(0,C30-H30)</f>
        <v/>
      </c>
    </row>
    <row r="31">
      <c r="A31" s="4">
        <f>A30+1</f>
        <v/>
      </c>
      <c r="B31" s="7">
        <f>EDATE(B30,1)</f>
        <v/>
      </c>
      <c r="C31" s="5">
        <f>I30</f>
        <v/>
      </c>
      <c r="D31" s="5">
        <f>B19</f>
        <v/>
      </c>
      <c r="E31" s="5">
        <f>B20</f>
        <v/>
      </c>
      <c r="F31" s="5">
        <f>IF(C31&gt;0,D31+E31,0)</f>
        <v/>
      </c>
      <c r="G31" s="5">
        <f>IF(C31&gt;0, C31*(B18/100/12),0)</f>
        <v/>
      </c>
      <c r="H31" s="5">
        <f>IF(C31&gt;0, F31-G31,0)</f>
        <v/>
      </c>
      <c r="I31" s="5">
        <f>MAX(0,C31-H31)</f>
        <v/>
      </c>
    </row>
    <row r="32">
      <c r="A32" s="4">
        <f>A31+1</f>
        <v/>
      </c>
      <c r="B32" s="7">
        <f>EDATE(B31,1)</f>
        <v/>
      </c>
      <c r="C32" s="5">
        <f>I31</f>
        <v/>
      </c>
      <c r="D32" s="5">
        <f>B19</f>
        <v/>
      </c>
      <c r="E32" s="5">
        <f>B20</f>
        <v/>
      </c>
      <c r="F32" s="5">
        <f>IF(C32&gt;0,D32+E32,0)</f>
        <v/>
      </c>
      <c r="G32" s="5">
        <f>IF(C32&gt;0, C32*(B18/100/12),0)</f>
        <v/>
      </c>
      <c r="H32" s="5">
        <f>IF(C32&gt;0, F32-G32,0)</f>
        <v/>
      </c>
      <c r="I32" s="5">
        <f>MAX(0,C32-H32)</f>
        <v/>
      </c>
    </row>
    <row r="33">
      <c r="A33" s="4">
        <f>A32+1</f>
        <v/>
      </c>
      <c r="B33" s="7">
        <f>EDATE(B32,1)</f>
        <v/>
      </c>
      <c r="C33" s="5">
        <f>I32</f>
        <v/>
      </c>
      <c r="D33" s="5">
        <f>B19</f>
        <v/>
      </c>
      <c r="E33" s="5">
        <f>B20</f>
        <v/>
      </c>
      <c r="F33" s="5">
        <f>IF(C33&gt;0,D33+E33,0)</f>
        <v/>
      </c>
      <c r="G33" s="5">
        <f>IF(C33&gt;0, C33*(B18/100/12),0)</f>
        <v/>
      </c>
      <c r="H33" s="5">
        <f>IF(C33&gt;0, F33-G33,0)</f>
        <v/>
      </c>
      <c r="I33" s="5">
        <f>MAX(0,C33-H33)</f>
        <v/>
      </c>
    </row>
    <row r="34">
      <c r="A34" s="4">
        <f>A33+1</f>
        <v/>
      </c>
      <c r="B34" s="7">
        <f>EDATE(B33,1)</f>
        <v/>
      </c>
      <c r="C34" s="5">
        <f>I33</f>
        <v/>
      </c>
      <c r="D34" s="5">
        <f>B19</f>
        <v/>
      </c>
      <c r="E34" s="5">
        <f>B20</f>
        <v/>
      </c>
      <c r="F34" s="5">
        <f>IF(C34&gt;0,D34+E34,0)</f>
        <v/>
      </c>
      <c r="G34" s="5">
        <f>IF(C34&gt;0, C34*(B18/100/12),0)</f>
        <v/>
      </c>
      <c r="H34" s="5">
        <f>IF(C34&gt;0, F34-G34,0)</f>
        <v/>
      </c>
      <c r="I34" s="5">
        <f>MAX(0,C34-H34)</f>
        <v/>
      </c>
    </row>
    <row r="35">
      <c r="A35" s="4">
        <f>A34+1</f>
        <v/>
      </c>
      <c r="B35" s="7">
        <f>EDATE(B34,1)</f>
        <v/>
      </c>
      <c r="C35" s="5">
        <f>I34</f>
        <v/>
      </c>
      <c r="D35" s="5">
        <f>B19</f>
        <v/>
      </c>
      <c r="E35" s="5">
        <f>B20</f>
        <v/>
      </c>
      <c r="F35" s="5">
        <f>IF(C35&gt;0,D35+E35,0)</f>
        <v/>
      </c>
      <c r="G35" s="5">
        <f>IF(C35&gt;0, C35*(B18/100/12),0)</f>
        <v/>
      </c>
      <c r="H35" s="5">
        <f>IF(C35&gt;0, F35-G35,0)</f>
        <v/>
      </c>
      <c r="I35" s="5">
        <f>MAX(0,C35-H35)</f>
        <v/>
      </c>
    </row>
    <row r="36">
      <c r="A36" s="4">
        <f>A35+1</f>
        <v/>
      </c>
      <c r="B36" s="7">
        <f>EDATE(B35,1)</f>
        <v/>
      </c>
      <c r="C36" s="5">
        <f>I35</f>
        <v/>
      </c>
      <c r="D36" s="5">
        <f>B19</f>
        <v/>
      </c>
      <c r="E36" s="5">
        <f>B20</f>
        <v/>
      </c>
      <c r="F36" s="5">
        <f>IF(C36&gt;0,D36+E36,0)</f>
        <v/>
      </c>
      <c r="G36" s="5">
        <f>IF(C36&gt;0, C36*(B18/100/12),0)</f>
        <v/>
      </c>
      <c r="H36" s="5">
        <f>IF(C36&gt;0, F36-G36,0)</f>
        <v/>
      </c>
      <c r="I36" s="5">
        <f>MAX(0,C36-H36)</f>
        <v/>
      </c>
    </row>
    <row r="37">
      <c r="A37" s="4">
        <f>A36+1</f>
        <v/>
      </c>
      <c r="B37" s="7">
        <f>EDATE(B36,1)</f>
        <v/>
      </c>
      <c r="C37" s="5">
        <f>I36</f>
        <v/>
      </c>
      <c r="D37" s="5">
        <f>B19</f>
        <v/>
      </c>
      <c r="E37" s="5">
        <f>B20</f>
        <v/>
      </c>
      <c r="F37" s="5">
        <f>IF(C37&gt;0,D37+E37,0)</f>
        <v/>
      </c>
      <c r="G37" s="5">
        <f>IF(C37&gt;0, C37*(B18/100/12),0)</f>
        <v/>
      </c>
      <c r="H37" s="5">
        <f>IF(C37&gt;0, F37-G37,0)</f>
        <v/>
      </c>
      <c r="I37" s="5">
        <f>MAX(0,C37-H37)</f>
        <v/>
      </c>
    </row>
    <row r="38">
      <c r="A38" s="4">
        <f>A37+1</f>
        <v/>
      </c>
      <c r="B38" s="7">
        <f>EDATE(B37,1)</f>
        <v/>
      </c>
      <c r="C38" s="5">
        <f>I37</f>
        <v/>
      </c>
      <c r="D38" s="5">
        <f>B19</f>
        <v/>
      </c>
      <c r="E38" s="5">
        <f>B20</f>
        <v/>
      </c>
      <c r="F38" s="5">
        <f>IF(C38&gt;0,D38+E38,0)</f>
        <v/>
      </c>
      <c r="G38" s="5">
        <f>IF(C38&gt;0, C38*(B18/100/12),0)</f>
        <v/>
      </c>
      <c r="H38" s="5">
        <f>IF(C38&gt;0, F38-G38,0)</f>
        <v/>
      </c>
      <c r="I38" s="5">
        <f>MAX(0,C38-H38)</f>
        <v/>
      </c>
    </row>
    <row r="39">
      <c r="A39" s="4">
        <f>A38+1</f>
        <v/>
      </c>
      <c r="B39" s="7">
        <f>EDATE(B38,1)</f>
        <v/>
      </c>
      <c r="C39" s="5">
        <f>I38</f>
        <v/>
      </c>
      <c r="D39" s="5">
        <f>B19</f>
        <v/>
      </c>
      <c r="E39" s="5">
        <f>B20</f>
        <v/>
      </c>
      <c r="F39" s="5">
        <f>IF(C39&gt;0,D39+E39,0)</f>
        <v/>
      </c>
      <c r="G39" s="5">
        <f>IF(C39&gt;0, C39*(B18/100/12),0)</f>
        <v/>
      </c>
      <c r="H39" s="5">
        <f>IF(C39&gt;0, F39-G39,0)</f>
        <v/>
      </c>
      <c r="I39" s="5">
        <f>MAX(0,C39-H39)</f>
        <v/>
      </c>
    </row>
    <row r="40">
      <c r="A40" s="4">
        <f>A39+1</f>
        <v/>
      </c>
      <c r="B40" s="7">
        <f>EDATE(B39,1)</f>
        <v/>
      </c>
      <c r="C40" s="5">
        <f>I39</f>
        <v/>
      </c>
      <c r="D40" s="5">
        <f>B19</f>
        <v/>
      </c>
      <c r="E40" s="5">
        <f>B20</f>
        <v/>
      </c>
      <c r="F40" s="5">
        <f>IF(C40&gt;0,D40+E40,0)</f>
        <v/>
      </c>
      <c r="G40" s="5">
        <f>IF(C40&gt;0, C40*(B18/100/12),0)</f>
        <v/>
      </c>
      <c r="H40" s="5">
        <f>IF(C40&gt;0, F40-G40,0)</f>
        <v/>
      </c>
      <c r="I40" s="5">
        <f>MAX(0,C40-H40)</f>
        <v/>
      </c>
    </row>
    <row r="41">
      <c r="A41" s="4">
        <f>A40+1</f>
        <v/>
      </c>
      <c r="B41" s="7">
        <f>EDATE(B40,1)</f>
        <v/>
      </c>
      <c r="C41" s="5">
        <f>I40</f>
        <v/>
      </c>
      <c r="D41" s="5">
        <f>B19</f>
        <v/>
      </c>
      <c r="E41" s="5">
        <f>B20</f>
        <v/>
      </c>
      <c r="F41" s="5">
        <f>IF(C41&gt;0,D41+E41,0)</f>
        <v/>
      </c>
      <c r="G41" s="5">
        <f>IF(C41&gt;0, C41*(B18/100/12),0)</f>
        <v/>
      </c>
      <c r="H41" s="5">
        <f>IF(C41&gt;0, F41-G41,0)</f>
        <v/>
      </c>
      <c r="I41" s="5">
        <f>MAX(0,C41-H41)</f>
        <v/>
      </c>
    </row>
    <row r="42">
      <c r="A42" s="4">
        <f>A41+1</f>
        <v/>
      </c>
      <c r="B42" s="7">
        <f>EDATE(B41,1)</f>
        <v/>
      </c>
      <c r="C42" s="5">
        <f>I41</f>
        <v/>
      </c>
      <c r="D42" s="5">
        <f>B19</f>
        <v/>
      </c>
      <c r="E42" s="5">
        <f>B20</f>
        <v/>
      </c>
      <c r="F42" s="5">
        <f>IF(C42&gt;0,D42+E42,0)</f>
        <v/>
      </c>
      <c r="G42" s="5">
        <f>IF(C42&gt;0, C42*(B18/100/12),0)</f>
        <v/>
      </c>
      <c r="H42" s="5">
        <f>IF(C42&gt;0, F42-G42,0)</f>
        <v/>
      </c>
      <c r="I42" s="5">
        <f>MAX(0,C42-H42)</f>
        <v/>
      </c>
    </row>
    <row r="43">
      <c r="A43" s="4">
        <f>A42+1</f>
        <v/>
      </c>
      <c r="B43" s="7">
        <f>EDATE(B42,1)</f>
        <v/>
      </c>
      <c r="C43" s="5">
        <f>I42</f>
        <v/>
      </c>
      <c r="D43" s="5">
        <f>B19</f>
        <v/>
      </c>
      <c r="E43" s="5">
        <f>B20</f>
        <v/>
      </c>
      <c r="F43" s="5">
        <f>IF(C43&gt;0,D43+E43,0)</f>
        <v/>
      </c>
      <c r="G43" s="5">
        <f>IF(C43&gt;0, C43*(B18/100/12),0)</f>
        <v/>
      </c>
      <c r="H43" s="5">
        <f>IF(C43&gt;0, F43-G43,0)</f>
        <v/>
      </c>
      <c r="I43" s="5">
        <f>MAX(0,C43-H43)</f>
        <v/>
      </c>
    </row>
    <row r="44">
      <c r="A44" s="4">
        <f>A43+1</f>
        <v/>
      </c>
      <c r="B44" s="7">
        <f>EDATE(B43,1)</f>
        <v/>
      </c>
      <c r="C44" s="5">
        <f>I43</f>
        <v/>
      </c>
      <c r="D44" s="5">
        <f>B19</f>
        <v/>
      </c>
      <c r="E44" s="5">
        <f>B20</f>
        <v/>
      </c>
      <c r="F44" s="5">
        <f>IF(C44&gt;0,D44+E44,0)</f>
        <v/>
      </c>
      <c r="G44" s="5">
        <f>IF(C44&gt;0, C44*(B18/100/12),0)</f>
        <v/>
      </c>
      <c r="H44" s="5">
        <f>IF(C44&gt;0, F44-G44,0)</f>
        <v/>
      </c>
      <c r="I44" s="5">
        <f>MAX(0,C44-H44)</f>
        <v/>
      </c>
    </row>
    <row r="45">
      <c r="A45" s="4">
        <f>A44+1</f>
        <v/>
      </c>
      <c r="B45" s="7">
        <f>EDATE(B44,1)</f>
        <v/>
      </c>
      <c r="C45" s="5">
        <f>I44</f>
        <v/>
      </c>
      <c r="D45" s="5">
        <f>B19</f>
        <v/>
      </c>
      <c r="E45" s="5">
        <f>B20</f>
        <v/>
      </c>
      <c r="F45" s="5">
        <f>IF(C45&gt;0,D45+E45,0)</f>
        <v/>
      </c>
      <c r="G45" s="5">
        <f>IF(C45&gt;0, C45*(B18/100/12),0)</f>
        <v/>
      </c>
      <c r="H45" s="5">
        <f>IF(C45&gt;0, F45-G45,0)</f>
        <v/>
      </c>
      <c r="I45" s="5">
        <f>MAX(0,C45-H45)</f>
        <v/>
      </c>
    </row>
    <row r="46">
      <c r="A46" s="4">
        <f>A45+1</f>
        <v/>
      </c>
      <c r="B46" s="7">
        <f>EDATE(B45,1)</f>
        <v/>
      </c>
      <c r="C46" s="5">
        <f>I45</f>
        <v/>
      </c>
      <c r="D46" s="5">
        <f>B19</f>
        <v/>
      </c>
      <c r="E46" s="5">
        <f>B20</f>
        <v/>
      </c>
      <c r="F46" s="5">
        <f>IF(C46&gt;0,D46+E46,0)</f>
        <v/>
      </c>
      <c r="G46" s="5">
        <f>IF(C46&gt;0, C46*(B18/100/12),0)</f>
        <v/>
      </c>
      <c r="H46" s="5">
        <f>IF(C46&gt;0, F46-G46,0)</f>
        <v/>
      </c>
      <c r="I46" s="5">
        <f>MAX(0,C46-H46)</f>
        <v/>
      </c>
    </row>
    <row r="47">
      <c r="A47" s="4">
        <f>A46+1</f>
        <v/>
      </c>
      <c r="B47" s="7">
        <f>EDATE(B46,1)</f>
        <v/>
      </c>
      <c r="C47" s="5">
        <f>I46</f>
        <v/>
      </c>
      <c r="D47" s="5">
        <f>B19</f>
        <v/>
      </c>
      <c r="E47" s="5">
        <f>B20</f>
        <v/>
      </c>
      <c r="F47" s="5">
        <f>IF(C47&gt;0,D47+E47,0)</f>
        <v/>
      </c>
      <c r="G47" s="5">
        <f>IF(C47&gt;0, C47*(B18/100/12),0)</f>
        <v/>
      </c>
      <c r="H47" s="5">
        <f>IF(C47&gt;0, F47-G47,0)</f>
        <v/>
      </c>
      <c r="I47" s="5">
        <f>MAX(0,C47-H47)</f>
        <v/>
      </c>
    </row>
    <row r="48">
      <c r="A48" s="4">
        <f>A47+1</f>
        <v/>
      </c>
      <c r="B48" s="7">
        <f>EDATE(B47,1)</f>
        <v/>
      </c>
      <c r="C48" s="5">
        <f>I47</f>
        <v/>
      </c>
      <c r="D48" s="5">
        <f>B19</f>
        <v/>
      </c>
      <c r="E48" s="5">
        <f>B20</f>
        <v/>
      </c>
      <c r="F48" s="5">
        <f>IF(C48&gt;0,D48+E48,0)</f>
        <v/>
      </c>
      <c r="G48" s="5">
        <f>IF(C48&gt;0, C48*(B18/100/12),0)</f>
        <v/>
      </c>
      <c r="H48" s="5">
        <f>IF(C48&gt;0, F48-G48,0)</f>
        <v/>
      </c>
      <c r="I48" s="5">
        <f>MAX(0,C48-H48)</f>
        <v/>
      </c>
    </row>
    <row r="49">
      <c r="A49" s="4">
        <f>A48+1</f>
        <v/>
      </c>
      <c r="B49" s="7">
        <f>EDATE(B48,1)</f>
        <v/>
      </c>
      <c r="C49" s="5">
        <f>I48</f>
        <v/>
      </c>
      <c r="D49" s="5">
        <f>B19</f>
        <v/>
      </c>
      <c r="E49" s="5">
        <f>B20</f>
        <v/>
      </c>
      <c r="F49" s="5">
        <f>IF(C49&gt;0,D49+E49,0)</f>
        <v/>
      </c>
      <c r="G49" s="5">
        <f>IF(C49&gt;0, C49*(B18/100/12),0)</f>
        <v/>
      </c>
      <c r="H49" s="5">
        <f>IF(C49&gt;0, F49-G49,0)</f>
        <v/>
      </c>
      <c r="I49" s="5">
        <f>MAX(0,C49-H49)</f>
        <v/>
      </c>
    </row>
    <row r="50">
      <c r="A50" s="4">
        <f>A49+1</f>
        <v/>
      </c>
      <c r="B50" s="7">
        <f>EDATE(B49,1)</f>
        <v/>
      </c>
      <c r="C50" s="5">
        <f>I49</f>
        <v/>
      </c>
      <c r="D50" s="5">
        <f>B19</f>
        <v/>
      </c>
      <c r="E50" s="5">
        <f>B20</f>
        <v/>
      </c>
      <c r="F50" s="5">
        <f>IF(C50&gt;0,D50+E50,0)</f>
        <v/>
      </c>
      <c r="G50" s="5">
        <f>IF(C50&gt;0, C50*(B18/100/12),0)</f>
        <v/>
      </c>
      <c r="H50" s="5">
        <f>IF(C50&gt;0, F50-G50,0)</f>
        <v/>
      </c>
      <c r="I50" s="5">
        <f>MAX(0,C50-H50)</f>
        <v/>
      </c>
    </row>
    <row r="51">
      <c r="A51" s="4">
        <f>A50+1</f>
        <v/>
      </c>
      <c r="B51" s="7">
        <f>EDATE(B50,1)</f>
        <v/>
      </c>
      <c r="C51" s="5">
        <f>I50</f>
        <v/>
      </c>
      <c r="D51" s="5">
        <f>B19</f>
        <v/>
      </c>
      <c r="E51" s="5">
        <f>B20</f>
        <v/>
      </c>
      <c r="F51" s="5">
        <f>IF(C51&gt;0,D51+E51,0)</f>
        <v/>
      </c>
      <c r="G51" s="5">
        <f>IF(C51&gt;0, C51*(B18/100/12),0)</f>
        <v/>
      </c>
      <c r="H51" s="5">
        <f>IF(C51&gt;0, F51-G51,0)</f>
        <v/>
      </c>
      <c r="I51" s="5">
        <f>MAX(0,C51-H51)</f>
        <v/>
      </c>
    </row>
    <row r="52">
      <c r="A52" s="4">
        <f>A51+1</f>
        <v/>
      </c>
      <c r="B52" s="7">
        <f>EDATE(B51,1)</f>
        <v/>
      </c>
      <c r="C52" s="5">
        <f>I51</f>
        <v/>
      </c>
      <c r="D52" s="5">
        <f>B19</f>
        <v/>
      </c>
      <c r="E52" s="5">
        <f>B20</f>
        <v/>
      </c>
      <c r="F52" s="5">
        <f>IF(C52&gt;0,D52+E52,0)</f>
        <v/>
      </c>
      <c r="G52" s="5">
        <f>IF(C52&gt;0, C52*(B18/100/12),0)</f>
        <v/>
      </c>
      <c r="H52" s="5">
        <f>IF(C52&gt;0, F52-G52,0)</f>
        <v/>
      </c>
      <c r="I52" s="5">
        <f>MAX(0,C52-H52)</f>
        <v/>
      </c>
    </row>
    <row r="53">
      <c r="A53" s="4">
        <f>A52+1</f>
        <v/>
      </c>
      <c r="B53" s="7">
        <f>EDATE(B52,1)</f>
        <v/>
      </c>
      <c r="C53" s="5">
        <f>I52</f>
        <v/>
      </c>
      <c r="D53" s="5">
        <f>B19</f>
        <v/>
      </c>
      <c r="E53" s="5">
        <f>B20</f>
        <v/>
      </c>
      <c r="F53" s="5">
        <f>IF(C53&gt;0,D53+E53,0)</f>
        <v/>
      </c>
      <c r="G53" s="5">
        <f>IF(C53&gt;0, C53*(B18/100/12),0)</f>
        <v/>
      </c>
      <c r="H53" s="5">
        <f>IF(C53&gt;0, F53-G53,0)</f>
        <v/>
      </c>
      <c r="I53" s="5">
        <f>MAX(0,C53-H53)</f>
        <v/>
      </c>
    </row>
    <row r="54">
      <c r="A54" s="4">
        <f>A53+1</f>
        <v/>
      </c>
      <c r="B54" s="7">
        <f>EDATE(B53,1)</f>
        <v/>
      </c>
      <c r="C54" s="5">
        <f>I53</f>
        <v/>
      </c>
      <c r="D54" s="5">
        <f>B19</f>
        <v/>
      </c>
      <c r="E54" s="5">
        <f>B20</f>
        <v/>
      </c>
      <c r="F54" s="5">
        <f>IF(C54&gt;0,D54+E54,0)</f>
        <v/>
      </c>
      <c r="G54" s="5">
        <f>IF(C54&gt;0, C54*(B18/100/12),0)</f>
        <v/>
      </c>
      <c r="H54" s="5">
        <f>IF(C54&gt;0, F54-G54,0)</f>
        <v/>
      </c>
      <c r="I54" s="5">
        <f>MAX(0,C54-H54)</f>
        <v/>
      </c>
    </row>
    <row r="55">
      <c r="A55" s="4">
        <f>A54+1</f>
        <v/>
      </c>
      <c r="B55" s="7">
        <f>EDATE(B54,1)</f>
        <v/>
      </c>
      <c r="C55" s="5">
        <f>I54</f>
        <v/>
      </c>
      <c r="D55" s="5">
        <f>B19</f>
        <v/>
      </c>
      <c r="E55" s="5">
        <f>B20</f>
        <v/>
      </c>
      <c r="F55" s="5">
        <f>IF(C55&gt;0,D55+E55,0)</f>
        <v/>
      </c>
      <c r="G55" s="5">
        <f>IF(C55&gt;0, C55*(B18/100/12),0)</f>
        <v/>
      </c>
      <c r="H55" s="5">
        <f>IF(C55&gt;0, F55-G55,0)</f>
        <v/>
      </c>
      <c r="I55" s="5">
        <f>MAX(0,C55-H55)</f>
        <v/>
      </c>
    </row>
    <row r="56">
      <c r="A56" s="4">
        <f>A55+1</f>
        <v/>
      </c>
      <c r="B56" s="7">
        <f>EDATE(B55,1)</f>
        <v/>
      </c>
      <c r="C56" s="5">
        <f>I55</f>
        <v/>
      </c>
      <c r="D56" s="5">
        <f>B19</f>
        <v/>
      </c>
      <c r="E56" s="5">
        <f>B20</f>
        <v/>
      </c>
      <c r="F56" s="5">
        <f>IF(C56&gt;0,D56+E56,0)</f>
        <v/>
      </c>
      <c r="G56" s="5">
        <f>IF(C56&gt;0, C56*(B18/100/12),0)</f>
        <v/>
      </c>
      <c r="H56" s="5">
        <f>IF(C56&gt;0, F56-G56,0)</f>
        <v/>
      </c>
      <c r="I56" s="5">
        <f>MAX(0,C56-H56)</f>
        <v/>
      </c>
    </row>
    <row r="57">
      <c r="A57" s="4">
        <f>A56+1</f>
        <v/>
      </c>
      <c r="B57" s="7">
        <f>EDATE(B56,1)</f>
        <v/>
      </c>
      <c r="C57" s="5">
        <f>I56</f>
        <v/>
      </c>
      <c r="D57" s="5">
        <f>B19</f>
        <v/>
      </c>
      <c r="E57" s="5">
        <f>B20</f>
        <v/>
      </c>
      <c r="F57" s="5">
        <f>IF(C57&gt;0,D57+E57,0)</f>
        <v/>
      </c>
      <c r="G57" s="5">
        <f>IF(C57&gt;0, C57*(B18/100/12),0)</f>
        <v/>
      </c>
      <c r="H57" s="5">
        <f>IF(C57&gt;0, F57-G57,0)</f>
        <v/>
      </c>
      <c r="I57" s="5">
        <f>MAX(0,C57-H57)</f>
        <v/>
      </c>
    </row>
    <row r="58">
      <c r="A58" s="4">
        <f>A57+1</f>
        <v/>
      </c>
      <c r="B58" s="7">
        <f>EDATE(B57,1)</f>
        <v/>
      </c>
      <c r="C58" s="5">
        <f>I57</f>
        <v/>
      </c>
      <c r="D58" s="5">
        <f>B19</f>
        <v/>
      </c>
      <c r="E58" s="5">
        <f>B20</f>
        <v/>
      </c>
      <c r="F58" s="5">
        <f>IF(C58&gt;0,D58+E58,0)</f>
        <v/>
      </c>
      <c r="G58" s="5">
        <f>IF(C58&gt;0, C58*(B18/100/12),0)</f>
        <v/>
      </c>
      <c r="H58" s="5">
        <f>IF(C58&gt;0, F58-G58,0)</f>
        <v/>
      </c>
      <c r="I58" s="5">
        <f>MAX(0,C58-H58)</f>
        <v/>
      </c>
    </row>
    <row r="59">
      <c r="A59" s="4">
        <f>A58+1</f>
        <v/>
      </c>
      <c r="B59" s="7">
        <f>EDATE(B58,1)</f>
        <v/>
      </c>
      <c r="C59" s="5">
        <f>I58</f>
        <v/>
      </c>
      <c r="D59" s="5">
        <f>B19</f>
        <v/>
      </c>
      <c r="E59" s="5">
        <f>B20</f>
        <v/>
      </c>
      <c r="F59" s="5">
        <f>IF(C59&gt;0,D59+E59,0)</f>
        <v/>
      </c>
      <c r="G59" s="5">
        <f>IF(C59&gt;0, C59*(B18/100/12),0)</f>
        <v/>
      </c>
      <c r="H59" s="5">
        <f>IF(C59&gt;0, F59-G59,0)</f>
        <v/>
      </c>
      <c r="I59" s="5">
        <f>MAX(0,C59-H59)</f>
        <v/>
      </c>
    </row>
    <row r="60">
      <c r="A60" s="4">
        <f>A59+1</f>
        <v/>
      </c>
      <c r="B60" s="7">
        <f>EDATE(B59,1)</f>
        <v/>
      </c>
      <c r="C60" s="5">
        <f>I59</f>
        <v/>
      </c>
      <c r="D60" s="5">
        <f>B19</f>
        <v/>
      </c>
      <c r="E60" s="5">
        <f>B20</f>
        <v/>
      </c>
      <c r="F60" s="5">
        <f>IF(C60&gt;0,D60+E60,0)</f>
        <v/>
      </c>
      <c r="G60" s="5">
        <f>IF(C60&gt;0, C60*(B18/100/12),0)</f>
        <v/>
      </c>
      <c r="H60" s="5">
        <f>IF(C60&gt;0, F60-G60,0)</f>
        <v/>
      </c>
      <c r="I60" s="5">
        <f>MAX(0,C60-H60)</f>
        <v/>
      </c>
    </row>
    <row r="61">
      <c r="A61" s="4">
        <f>A60+1</f>
        <v/>
      </c>
      <c r="B61" s="7">
        <f>EDATE(B60,1)</f>
        <v/>
      </c>
      <c r="C61" s="5">
        <f>I60</f>
        <v/>
      </c>
      <c r="D61" s="5">
        <f>B19</f>
        <v/>
      </c>
      <c r="E61" s="5">
        <f>B20</f>
        <v/>
      </c>
      <c r="F61" s="5">
        <f>IF(C61&gt;0,D61+E61,0)</f>
        <v/>
      </c>
      <c r="G61" s="5">
        <f>IF(C61&gt;0, C61*(B18/100/12),0)</f>
        <v/>
      </c>
      <c r="H61" s="5">
        <f>IF(C61&gt;0, F61-G61,0)</f>
        <v/>
      </c>
      <c r="I61" s="5">
        <f>MAX(0,C61-H61)</f>
        <v/>
      </c>
    </row>
    <row r="62">
      <c r="A62" s="4">
        <f>A61+1</f>
        <v/>
      </c>
      <c r="B62" s="7">
        <f>EDATE(B61,1)</f>
        <v/>
      </c>
      <c r="C62" s="5">
        <f>I61</f>
        <v/>
      </c>
      <c r="D62" s="5">
        <f>B19</f>
        <v/>
      </c>
      <c r="E62" s="5">
        <f>B20</f>
        <v/>
      </c>
      <c r="F62" s="5">
        <f>IF(C62&gt;0,D62+E62,0)</f>
        <v/>
      </c>
      <c r="G62" s="5">
        <f>IF(C62&gt;0, C62*(B18/100/12),0)</f>
        <v/>
      </c>
      <c r="H62" s="5">
        <f>IF(C62&gt;0, F62-G62,0)</f>
        <v/>
      </c>
      <c r="I62" s="5">
        <f>MAX(0,C62-H62)</f>
        <v/>
      </c>
    </row>
    <row r="63">
      <c r="A63" s="4">
        <f>A62+1</f>
        <v/>
      </c>
      <c r="B63" s="7">
        <f>EDATE(B62,1)</f>
        <v/>
      </c>
      <c r="C63" s="5">
        <f>I62</f>
        <v/>
      </c>
      <c r="D63" s="5">
        <f>B19</f>
        <v/>
      </c>
      <c r="E63" s="5">
        <f>B20</f>
        <v/>
      </c>
      <c r="F63" s="5">
        <f>IF(C63&gt;0,D63+E63,0)</f>
        <v/>
      </c>
      <c r="G63" s="5">
        <f>IF(C63&gt;0, C63*(B18/100/12),0)</f>
        <v/>
      </c>
      <c r="H63" s="5">
        <f>IF(C63&gt;0, F63-G63,0)</f>
        <v/>
      </c>
      <c r="I63" s="5">
        <f>MAX(0,C63-H63)</f>
        <v/>
      </c>
    </row>
    <row r="64">
      <c r="A64" s="4">
        <f>A63+1</f>
        <v/>
      </c>
      <c r="B64" s="7">
        <f>EDATE(B63,1)</f>
        <v/>
      </c>
      <c r="C64" s="5">
        <f>I63</f>
        <v/>
      </c>
      <c r="D64" s="5">
        <f>B19</f>
        <v/>
      </c>
      <c r="E64" s="5">
        <f>B20</f>
        <v/>
      </c>
      <c r="F64" s="5">
        <f>IF(C64&gt;0,D64+E64,0)</f>
        <v/>
      </c>
      <c r="G64" s="5">
        <f>IF(C64&gt;0, C64*(B18/100/12),0)</f>
        <v/>
      </c>
      <c r="H64" s="5">
        <f>IF(C64&gt;0, F64-G64,0)</f>
        <v/>
      </c>
      <c r="I64" s="5">
        <f>MAX(0,C64-H64)</f>
        <v/>
      </c>
    </row>
    <row r="65">
      <c r="A65" s="4">
        <f>A64+1</f>
        <v/>
      </c>
      <c r="B65" s="7">
        <f>EDATE(B64,1)</f>
        <v/>
      </c>
      <c r="C65" s="5">
        <f>I64</f>
        <v/>
      </c>
      <c r="D65" s="5">
        <f>B19</f>
        <v/>
      </c>
      <c r="E65" s="5">
        <f>B20</f>
        <v/>
      </c>
      <c r="F65" s="5">
        <f>IF(C65&gt;0,D65+E65,0)</f>
        <v/>
      </c>
      <c r="G65" s="5">
        <f>IF(C65&gt;0, C65*(B18/100/12),0)</f>
        <v/>
      </c>
      <c r="H65" s="5">
        <f>IF(C65&gt;0, F65-G65,0)</f>
        <v/>
      </c>
      <c r="I65" s="5">
        <f>MAX(0,C65-H65)</f>
        <v/>
      </c>
    </row>
    <row r="66">
      <c r="A66" s="4">
        <f>A65+1</f>
        <v/>
      </c>
      <c r="B66" s="7">
        <f>EDATE(B65,1)</f>
        <v/>
      </c>
      <c r="C66" s="5">
        <f>I65</f>
        <v/>
      </c>
      <c r="D66" s="5">
        <f>B19</f>
        <v/>
      </c>
      <c r="E66" s="5">
        <f>B20</f>
        <v/>
      </c>
      <c r="F66" s="5">
        <f>IF(C66&gt;0,D66+E66,0)</f>
        <v/>
      </c>
      <c r="G66" s="5">
        <f>IF(C66&gt;0, C66*(B18/100/12),0)</f>
        <v/>
      </c>
      <c r="H66" s="5">
        <f>IF(C66&gt;0, F66-G66,0)</f>
        <v/>
      </c>
      <c r="I66" s="5">
        <f>MAX(0,C66-H66)</f>
        <v/>
      </c>
    </row>
    <row r="67">
      <c r="A67" s="4">
        <f>A66+1</f>
        <v/>
      </c>
      <c r="B67" s="7">
        <f>EDATE(B66,1)</f>
        <v/>
      </c>
      <c r="C67" s="5">
        <f>I66</f>
        <v/>
      </c>
      <c r="D67" s="5">
        <f>B19</f>
        <v/>
      </c>
      <c r="E67" s="5">
        <f>B20</f>
        <v/>
      </c>
      <c r="F67" s="5">
        <f>IF(C67&gt;0,D67+E67,0)</f>
        <v/>
      </c>
      <c r="G67" s="5">
        <f>IF(C67&gt;0, C67*(B18/100/12),0)</f>
        <v/>
      </c>
      <c r="H67" s="5">
        <f>IF(C67&gt;0, F67-G67,0)</f>
        <v/>
      </c>
      <c r="I67" s="5">
        <f>MAX(0,C67-H67)</f>
        <v/>
      </c>
    </row>
    <row r="68">
      <c r="A68" s="4">
        <f>A67+1</f>
        <v/>
      </c>
      <c r="B68" s="7">
        <f>EDATE(B67,1)</f>
        <v/>
      </c>
      <c r="C68" s="5">
        <f>I67</f>
        <v/>
      </c>
      <c r="D68" s="5">
        <f>B19</f>
        <v/>
      </c>
      <c r="E68" s="5">
        <f>B20</f>
        <v/>
      </c>
      <c r="F68" s="5">
        <f>IF(C68&gt;0,D68+E68,0)</f>
        <v/>
      </c>
      <c r="G68" s="5">
        <f>IF(C68&gt;0, C68*(B18/100/12),0)</f>
        <v/>
      </c>
      <c r="H68" s="5">
        <f>IF(C68&gt;0, F68-G68,0)</f>
        <v/>
      </c>
      <c r="I68" s="5">
        <f>MAX(0,C68-H68)</f>
        <v/>
      </c>
    </row>
    <row r="69">
      <c r="A69" s="4">
        <f>A68+1</f>
        <v/>
      </c>
      <c r="B69" s="7">
        <f>EDATE(B68,1)</f>
        <v/>
      </c>
      <c r="C69" s="5">
        <f>I68</f>
        <v/>
      </c>
      <c r="D69" s="5">
        <f>B19</f>
        <v/>
      </c>
      <c r="E69" s="5">
        <f>B20</f>
        <v/>
      </c>
      <c r="F69" s="5">
        <f>IF(C69&gt;0,D69+E69,0)</f>
        <v/>
      </c>
      <c r="G69" s="5">
        <f>IF(C69&gt;0, C69*(B18/100/12),0)</f>
        <v/>
      </c>
      <c r="H69" s="5">
        <f>IF(C69&gt;0, F69-G69,0)</f>
        <v/>
      </c>
      <c r="I69" s="5">
        <f>MAX(0,C69-H69)</f>
        <v/>
      </c>
    </row>
    <row r="70">
      <c r="A70" s="4">
        <f>A69+1</f>
        <v/>
      </c>
      <c r="B70" s="7">
        <f>EDATE(B69,1)</f>
        <v/>
      </c>
      <c r="C70" s="5">
        <f>I69</f>
        <v/>
      </c>
      <c r="D70" s="5">
        <f>B19</f>
        <v/>
      </c>
      <c r="E70" s="5">
        <f>B20</f>
        <v/>
      </c>
      <c r="F70" s="5">
        <f>IF(C70&gt;0,D70+E70,0)</f>
        <v/>
      </c>
      <c r="G70" s="5">
        <f>IF(C70&gt;0, C70*(B18/100/12),0)</f>
        <v/>
      </c>
      <c r="H70" s="5">
        <f>IF(C70&gt;0, F70-G70,0)</f>
        <v/>
      </c>
      <c r="I70" s="5">
        <f>MAX(0,C70-H70)</f>
        <v/>
      </c>
    </row>
    <row r="71">
      <c r="A71" s="4">
        <f>A70+1</f>
        <v/>
      </c>
      <c r="B71" s="7">
        <f>EDATE(B70,1)</f>
        <v/>
      </c>
      <c r="C71" s="5">
        <f>I70</f>
        <v/>
      </c>
      <c r="D71" s="5">
        <f>B19</f>
        <v/>
      </c>
      <c r="E71" s="5">
        <f>B20</f>
        <v/>
      </c>
      <c r="F71" s="5">
        <f>IF(C71&gt;0,D71+E71,0)</f>
        <v/>
      </c>
      <c r="G71" s="5">
        <f>IF(C71&gt;0, C71*(B18/100/12),0)</f>
        <v/>
      </c>
      <c r="H71" s="5">
        <f>IF(C71&gt;0, F71-G71,0)</f>
        <v/>
      </c>
      <c r="I71" s="5">
        <f>MAX(0,C71-H71)</f>
        <v/>
      </c>
    </row>
    <row r="72">
      <c r="A72" s="4">
        <f>A71+1</f>
        <v/>
      </c>
      <c r="B72" s="7">
        <f>EDATE(B71,1)</f>
        <v/>
      </c>
      <c r="C72" s="5">
        <f>I71</f>
        <v/>
      </c>
      <c r="D72" s="5">
        <f>B19</f>
        <v/>
      </c>
      <c r="E72" s="5">
        <f>B20</f>
        <v/>
      </c>
      <c r="F72" s="5">
        <f>IF(C72&gt;0,D72+E72,0)</f>
        <v/>
      </c>
      <c r="G72" s="5">
        <f>IF(C72&gt;0, C72*(B18/100/12),0)</f>
        <v/>
      </c>
      <c r="H72" s="5">
        <f>IF(C72&gt;0, F72-G72,0)</f>
        <v/>
      </c>
      <c r="I72" s="5">
        <f>MAX(0,C72-H72)</f>
        <v/>
      </c>
    </row>
    <row r="73">
      <c r="A73" s="4">
        <f>A72+1</f>
        <v/>
      </c>
      <c r="B73" s="7">
        <f>EDATE(B72,1)</f>
        <v/>
      </c>
      <c r="C73" s="5">
        <f>I72</f>
        <v/>
      </c>
      <c r="D73" s="5">
        <f>B19</f>
        <v/>
      </c>
      <c r="E73" s="5">
        <f>B20</f>
        <v/>
      </c>
      <c r="F73" s="5">
        <f>IF(C73&gt;0,D73+E73,0)</f>
        <v/>
      </c>
      <c r="G73" s="5">
        <f>IF(C73&gt;0, C73*(B18/100/12),0)</f>
        <v/>
      </c>
      <c r="H73" s="5">
        <f>IF(C73&gt;0, F73-G73,0)</f>
        <v/>
      </c>
      <c r="I73" s="5">
        <f>MAX(0,C73-H73)</f>
        <v/>
      </c>
    </row>
    <row r="74">
      <c r="A74" s="4">
        <f>A73+1</f>
        <v/>
      </c>
      <c r="B74" s="7">
        <f>EDATE(B73,1)</f>
        <v/>
      </c>
      <c r="C74" s="5">
        <f>I73</f>
        <v/>
      </c>
      <c r="D74" s="5">
        <f>B19</f>
        <v/>
      </c>
      <c r="E74" s="5">
        <f>B20</f>
        <v/>
      </c>
      <c r="F74" s="5">
        <f>IF(C74&gt;0,D74+E74,0)</f>
        <v/>
      </c>
      <c r="G74" s="5">
        <f>IF(C74&gt;0, C74*(B18/100/12),0)</f>
        <v/>
      </c>
      <c r="H74" s="5">
        <f>IF(C74&gt;0, F74-G74,0)</f>
        <v/>
      </c>
      <c r="I74" s="5">
        <f>MAX(0,C74-H74)</f>
        <v/>
      </c>
    </row>
    <row r="75">
      <c r="A75" s="4">
        <f>A74+1</f>
        <v/>
      </c>
      <c r="B75" s="7">
        <f>EDATE(B74,1)</f>
        <v/>
      </c>
      <c r="C75" s="5">
        <f>I74</f>
        <v/>
      </c>
      <c r="D75" s="5">
        <f>B19</f>
        <v/>
      </c>
      <c r="E75" s="5">
        <f>B20</f>
        <v/>
      </c>
      <c r="F75" s="5">
        <f>IF(C75&gt;0,D75+E75,0)</f>
        <v/>
      </c>
      <c r="G75" s="5">
        <f>IF(C75&gt;0, C75*(B18/100/12),0)</f>
        <v/>
      </c>
      <c r="H75" s="5">
        <f>IF(C75&gt;0, F75-G75,0)</f>
        <v/>
      </c>
      <c r="I75" s="5">
        <f>MAX(0,C75-H75)</f>
        <v/>
      </c>
    </row>
    <row r="76">
      <c r="A76" s="4">
        <f>A75+1</f>
        <v/>
      </c>
      <c r="B76" s="7">
        <f>EDATE(B75,1)</f>
        <v/>
      </c>
      <c r="C76" s="5">
        <f>I75</f>
        <v/>
      </c>
      <c r="D76" s="5">
        <f>B19</f>
        <v/>
      </c>
      <c r="E76" s="5">
        <f>B20</f>
        <v/>
      </c>
      <c r="F76" s="5">
        <f>IF(C76&gt;0,D76+E76,0)</f>
        <v/>
      </c>
      <c r="G76" s="5">
        <f>IF(C76&gt;0, C76*(B18/100/12),0)</f>
        <v/>
      </c>
      <c r="H76" s="5">
        <f>IF(C76&gt;0, F76-G76,0)</f>
        <v/>
      </c>
      <c r="I76" s="5">
        <f>MAX(0,C76-H76)</f>
        <v/>
      </c>
    </row>
    <row r="77">
      <c r="A77" s="4">
        <f>A76+1</f>
        <v/>
      </c>
      <c r="B77" s="7">
        <f>EDATE(B76,1)</f>
        <v/>
      </c>
      <c r="C77" s="5">
        <f>I76</f>
        <v/>
      </c>
      <c r="D77" s="5">
        <f>B19</f>
        <v/>
      </c>
      <c r="E77" s="5">
        <f>B20</f>
        <v/>
      </c>
      <c r="F77" s="5">
        <f>IF(C77&gt;0,D77+E77,0)</f>
        <v/>
      </c>
      <c r="G77" s="5">
        <f>IF(C77&gt;0, C77*(B18/100/12),0)</f>
        <v/>
      </c>
      <c r="H77" s="5">
        <f>IF(C77&gt;0, F77-G77,0)</f>
        <v/>
      </c>
      <c r="I77" s="5">
        <f>MAX(0,C77-H77)</f>
        <v/>
      </c>
    </row>
    <row r="78">
      <c r="A78" s="4">
        <f>A77+1</f>
        <v/>
      </c>
      <c r="B78" s="7">
        <f>EDATE(B77,1)</f>
        <v/>
      </c>
      <c r="C78" s="5">
        <f>I77</f>
        <v/>
      </c>
      <c r="D78" s="5">
        <f>B19</f>
        <v/>
      </c>
      <c r="E78" s="5">
        <f>B20</f>
        <v/>
      </c>
      <c r="F78" s="5">
        <f>IF(C78&gt;0,D78+E78,0)</f>
        <v/>
      </c>
      <c r="G78" s="5">
        <f>IF(C78&gt;0, C78*(B18/100/12),0)</f>
        <v/>
      </c>
      <c r="H78" s="5">
        <f>IF(C78&gt;0, F78-G78,0)</f>
        <v/>
      </c>
      <c r="I78" s="5">
        <f>MAX(0,C78-H78)</f>
        <v/>
      </c>
    </row>
    <row r="79">
      <c r="A79" s="4">
        <f>A78+1</f>
        <v/>
      </c>
      <c r="B79" s="7">
        <f>EDATE(B78,1)</f>
        <v/>
      </c>
      <c r="C79" s="5">
        <f>I78</f>
        <v/>
      </c>
      <c r="D79" s="5">
        <f>B19</f>
        <v/>
      </c>
      <c r="E79" s="5">
        <f>B20</f>
        <v/>
      </c>
      <c r="F79" s="5">
        <f>IF(C79&gt;0,D79+E79,0)</f>
        <v/>
      </c>
      <c r="G79" s="5">
        <f>IF(C79&gt;0, C79*(B18/100/12),0)</f>
        <v/>
      </c>
      <c r="H79" s="5">
        <f>IF(C79&gt;0, F79-G79,0)</f>
        <v/>
      </c>
      <c r="I79" s="5">
        <f>MAX(0,C79-H79)</f>
        <v/>
      </c>
    </row>
    <row r="80">
      <c r="A80" s="4">
        <f>A79+1</f>
        <v/>
      </c>
      <c r="B80" s="7">
        <f>EDATE(B79,1)</f>
        <v/>
      </c>
      <c r="C80" s="5">
        <f>I79</f>
        <v/>
      </c>
      <c r="D80" s="5">
        <f>B19</f>
        <v/>
      </c>
      <c r="E80" s="5">
        <f>B20</f>
        <v/>
      </c>
      <c r="F80" s="5">
        <f>IF(C80&gt;0,D80+E80,0)</f>
        <v/>
      </c>
      <c r="G80" s="5">
        <f>IF(C80&gt;0, C80*(B18/100/12),0)</f>
        <v/>
      </c>
      <c r="H80" s="5">
        <f>IF(C80&gt;0, F80-G80,0)</f>
        <v/>
      </c>
      <c r="I80" s="5">
        <f>MAX(0,C80-H80)</f>
        <v/>
      </c>
    </row>
    <row r="81">
      <c r="A81" s="4">
        <f>A80+1</f>
        <v/>
      </c>
      <c r="B81" s="7">
        <f>EDATE(B80,1)</f>
        <v/>
      </c>
      <c r="C81" s="5">
        <f>I80</f>
        <v/>
      </c>
      <c r="D81" s="5">
        <f>B19</f>
        <v/>
      </c>
      <c r="E81" s="5">
        <f>B20</f>
        <v/>
      </c>
      <c r="F81" s="5">
        <f>IF(C81&gt;0,D81+E81,0)</f>
        <v/>
      </c>
      <c r="G81" s="5">
        <f>IF(C81&gt;0, C81*(B18/100/12),0)</f>
        <v/>
      </c>
      <c r="H81" s="5">
        <f>IF(C81&gt;0, F81-G81,0)</f>
        <v/>
      </c>
      <c r="I81" s="5">
        <f>MAX(0,C81-H81)</f>
        <v/>
      </c>
    </row>
    <row r="82">
      <c r="A82" s="4">
        <f>A81+1</f>
        <v/>
      </c>
      <c r="B82" s="7">
        <f>EDATE(B81,1)</f>
        <v/>
      </c>
      <c r="C82" s="5">
        <f>I81</f>
        <v/>
      </c>
      <c r="D82" s="5">
        <f>B19</f>
        <v/>
      </c>
      <c r="E82" s="5">
        <f>B20</f>
        <v/>
      </c>
      <c r="F82" s="5">
        <f>IF(C82&gt;0,D82+E82,0)</f>
        <v/>
      </c>
      <c r="G82" s="5">
        <f>IF(C82&gt;0, C82*(B18/100/12),0)</f>
        <v/>
      </c>
      <c r="H82" s="5">
        <f>IF(C82&gt;0, F82-G82,0)</f>
        <v/>
      </c>
      <c r="I82" s="5">
        <f>MAX(0,C82-H82)</f>
        <v/>
      </c>
    </row>
    <row r="84">
      <c r="A84" s="8" t="inlineStr">
        <is>
          <t>Total Interest Paid with Extra Payments:</t>
        </is>
      </c>
      <c r="C84" s="9">
        <f>SUM(G23:G82)</f>
        <v/>
      </c>
    </row>
    <row r="85">
      <c r="A85" s="8" t="inlineStr">
        <is>
          <t>Approximate Payoff Month (when Closing Balance hits 0):</t>
        </is>
      </c>
      <c r="C85" s="13">
        <f>INDEX(B23:B82,MATCH(0,I23:I82,0))</f>
        <v/>
      </c>
    </row>
  </sheetData>
  <mergeCells count="3">
    <mergeCell ref="A1:H1"/>
    <mergeCell ref="A3:H3"/>
    <mergeCell ref="A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2025-12-09T04:45:39Z</dcterms:created>
  <dcterms:modified xmlns:dcterms="http://purl.org/dc/terms/" xmlns:xsi="http://www.w3.org/2001/XMLSchema-instance" xsi:type="dcterms:W3CDTF">2025-12-09T04:45:39Z</dcterms:modified>
</cp:coreProperties>
</file>